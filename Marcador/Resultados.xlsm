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carian\Dropbox\Mis Documentos\Mis Documentos\Trabajos\Marcador1.1\Marcador\bin\Debug\"/>
    </mc:Choice>
  </mc:AlternateContent>
  <bookViews>
    <workbookView xWindow="120" yWindow="150" windowWidth="28515" windowHeight="14310" activeTab="4"/>
  </bookViews>
  <sheets>
    <sheet name="Jugadores" sheetId="3" r:id="rId1"/>
    <sheet name="Equipos" sheetId="2" r:id="rId2"/>
    <sheet name="Armado de equipos" sheetId="7" state="hidden" r:id="rId3"/>
    <sheet name="Equipos registrados" sheetId="9" r:id="rId4"/>
    <sheet name="Machote" sheetId="1" r:id="rId5"/>
  </sheets>
  <definedNames>
    <definedName name="_xlcn.WorksheetConnection_Resultados.xlsxArmadoDeEquipos" hidden="1">ArmadoDeEquipos[]</definedName>
    <definedName name="_xlcn.WorksheetConnection_Resultados.xlsxEquipos" hidden="1">Equipos!$B$4:$D$9</definedName>
    <definedName name="_xlcn.WorksheetConnection_Resultados.xlsxEquipos11" hidden="1">Equipos[]</definedName>
    <definedName name="_xlcn.WorksheetConnection_Resultados.xlsxJugadores" hidden="1">Jugadores[]</definedName>
  </definedNames>
  <calcPr calcId="152511"/>
  <pivotCaches>
    <pivotCache cacheId="0" r:id="rId6"/>
  </pivotCaches>
  <extLst>
    <ext xmlns:x15="http://schemas.microsoft.com/office/spreadsheetml/2010/11/main" uri="{FCE2AD5D-F65C-4FA6-A056-5C36A1767C68}">
      <x15:dataModel>
        <x15:modelTables>
          <x15:modelTable id="Jugadores-ada40d6e-2291-4e79-baf7-fb5ee4408b9d" name="Jugadores" connection="WorksheetConnection_Resultados.xlsx!Jugadores"/>
          <x15:modelTable id="Equipos1-5c60ae9b-28dc-4f0b-8dc6-f58fdb329441" name="Equipos1" connection="WorksheetConnection_Resultados.xlsx!Equipos1"/>
          <x15:modelTable id="Equipos-25f1032f-5519-49e1-953a-5397ca85a7e6" name="Equipos" connection="WorksheetConnection_Resultados.xlsx!Equipos"/>
          <x15:modelTable id="ArmadoDeEquipos-1c30c97c-990e-4d1d-b16e-f42e64fa9018" name="ArmadoDeEquipos" connection="WorksheetConnection_Resultados.xlsx!ArmadoDeEquipos"/>
        </x15:modelTables>
        <x15:modelRelationships>
          <x15:modelRelationship fromTable="ArmadoDeEquipos" fromColumn="Equipo" toTable="Equipos1" toColumn="ID"/>
          <x15:modelRelationship fromTable="ArmadoDeEquipos" fromColumn="Jugador" toTable="Jugadores" toColumn="ID Jugador"/>
        </x15:modelRelationships>
      </x15:dataModel>
    </ext>
  </extLst>
</workbook>
</file>

<file path=xl/calcChain.xml><?xml version="1.0" encoding="utf-8"?>
<calcChain xmlns="http://schemas.openxmlformats.org/spreadsheetml/2006/main">
  <c r="J66" i="1" l="1"/>
  <c r="C6" i="2" l="1"/>
  <c r="C7" i="2"/>
  <c r="C8" i="2"/>
  <c r="C9" i="2"/>
  <c r="C5" i="2"/>
  <c r="K3" i="1" l="1"/>
  <c r="K2" i="1"/>
  <c r="B65" i="1" l="1"/>
  <c r="B67" i="1"/>
  <c r="B66" i="1"/>
  <c r="B64" i="1"/>
  <c r="B63" i="1"/>
  <c r="J64" i="1" s="1"/>
  <c r="D66" i="1"/>
  <c r="D65" i="1"/>
  <c r="D64" i="1"/>
  <c r="D63" i="1"/>
  <c r="K64" i="1" s="1"/>
  <c r="D67" i="1"/>
</calcChain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Resultados.xlsx!ArmadoDeEquipos" type="102" refreshedVersion="5" minRefreshableVersion="5">
    <extLst>
      <ext xmlns:x15="http://schemas.microsoft.com/office/spreadsheetml/2010/11/main" uri="{DE250136-89BD-433C-8126-D09CA5730AF9}">
        <x15:connection id="ArmadoDeEquipos-1c30c97c-990e-4d1d-b16e-f42e64fa9018" autoDelete="1">
          <x15:rangePr sourceName="_xlcn.WorksheetConnection_Resultados.xlsxArmadoDeEquipos"/>
        </x15:connection>
      </ext>
    </extLst>
  </connection>
  <connection id="3" name="WorksheetConnection_Resultados.xlsx!Equipos" type="102" refreshedVersion="5" minRefreshableVersion="5">
    <extLst>
      <ext xmlns:x15="http://schemas.microsoft.com/office/spreadsheetml/2010/11/main" uri="{DE250136-89BD-433C-8126-D09CA5730AF9}">
        <x15:connection id="Equipos-25f1032f-5519-49e1-953a-5397ca85a7e6">
          <x15:rangePr sourceName="_xlcn.WorksheetConnection_Resultados.xlsxEquipos"/>
        </x15:connection>
      </ext>
    </extLst>
  </connection>
  <connection id="4" name="WorksheetConnection_Resultados.xlsx!Equipos1" type="102" refreshedVersion="5" minRefreshableVersion="5">
    <extLst>
      <ext xmlns:x15="http://schemas.microsoft.com/office/spreadsheetml/2010/11/main" uri="{DE250136-89BD-433C-8126-D09CA5730AF9}">
        <x15:connection id="Equipos1-5c60ae9b-28dc-4f0b-8dc6-f58fdb329441">
          <x15:rangePr sourceName="_xlcn.WorksheetConnection_Resultados.xlsxEquipos11"/>
        </x15:connection>
      </ext>
    </extLst>
  </connection>
  <connection id="5" name="WorksheetConnection_Resultados.xlsx!Jugadores" type="102" refreshedVersion="5" minRefreshableVersion="5">
    <extLst>
      <ext xmlns:x15="http://schemas.microsoft.com/office/spreadsheetml/2010/11/main" uri="{DE250136-89BD-433C-8126-D09CA5730AF9}">
        <x15:connection id="Jugadores-ada40d6e-2291-4e79-baf7-fb5ee4408b9d" autoDelete="1">
          <x15:rangePr sourceName="_xlcn.WorksheetConnection_Resultados.xlsxJugadores"/>
        </x15:connection>
      </ext>
    </extLst>
  </connection>
</connections>
</file>

<file path=xl/sharedStrings.xml><?xml version="1.0" encoding="utf-8"?>
<sst xmlns="http://schemas.openxmlformats.org/spreadsheetml/2006/main" count="129" uniqueCount="69">
  <si>
    <t>Equipo "A":</t>
  </si>
  <si>
    <t>Faules acumulados</t>
  </si>
  <si>
    <t>Categoría:</t>
  </si>
  <si>
    <t>Cancha:</t>
  </si>
  <si>
    <t>Fecha:</t>
  </si>
  <si>
    <t>Rama:</t>
  </si>
  <si>
    <t>Número</t>
  </si>
  <si>
    <t>Faltas</t>
  </si>
  <si>
    <t>1er cuarto</t>
  </si>
  <si>
    <t>2do cuarto</t>
  </si>
  <si>
    <t>3er cuarto</t>
  </si>
  <si>
    <t>4to cuarto</t>
  </si>
  <si>
    <t>Equipo "B":</t>
  </si>
  <si>
    <t>Nombre</t>
  </si>
  <si>
    <t>Canastas</t>
  </si>
  <si>
    <t>Anotaciones</t>
  </si>
  <si>
    <t>Tiempos extras</t>
  </si>
  <si>
    <t>A</t>
  </si>
  <si>
    <t>B</t>
  </si>
  <si>
    <t>Anotación Final</t>
  </si>
  <si>
    <t>Equipo Vencedor:</t>
  </si>
  <si>
    <t>Total Canastas</t>
  </si>
  <si>
    <t>Cuarto</t>
  </si>
  <si>
    <t>1er</t>
  </si>
  <si>
    <t>2do</t>
  </si>
  <si>
    <t>3ro</t>
  </si>
  <si>
    <t>4to</t>
  </si>
  <si>
    <t>Equipo A</t>
  </si>
  <si>
    <t>Equipo B</t>
  </si>
  <si>
    <t>Equipos registrados</t>
  </si>
  <si>
    <t>ID</t>
  </si>
  <si>
    <t>ID Jugador</t>
  </si>
  <si>
    <t>Jugador</t>
  </si>
  <si>
    <t>Numero</t>
  </si>
  <si>
    <t>Activo</t>
  </si>
  <si>
    <t>Equipo de ejemplo 1</t>
  </si>
  <si>
    <t>Equipo de ejemplo 2</t>
  </si>
  <si>
    <t>Equipo de ejemplo 3</t>
  </si>
  <si>
    <t>Equipo de ejemplo 4</t>
  </si>
  <si>
    <t>Equipo de ejemplo 5</t>
  </si>
  <si>
    <t>Equipo</t>
  </si>
  <si>
    <t>Número de jugadores</t>
  </si>
  <si>
    <t>Equipos</t>
  </si>
  <si>
    <t>Juegos</t>
  </si>
  <si>
    <t>Robos</t>
  </si>
  <si>
    <t>Asistencias</t>
  </si>
  <si>
    <t>Rebotes</t>
  </si>
  <si>
    <t>Equipo actual</t>
  </si>
  <si>
    <t>Jugador de ejemplo 10</t>
  </si>
  <si>
    <t>Jugador de ejemplo 11</t>
  </si>
  <si>
    <t>Jugador de ejemplo 12</t>
  </si>
  <si>
    <t>Jugador de ejemplo 13</t>
  </si>
  <si>
    <t>Jugador de ejemplo 14</t>
  </si>
  <si>
    <t>Jugador de ejemplo 15</t>
  </si>
  <si>
    <t>Jugador de ejemplo 16</t>
  </si>
  <si>
    <t>Jugador de ejemplo 17</t>
  </si>
  <si>
    <t>Jugador de ejemplo 18</t>
  </si>
  <si>
    <t>Jugador de ejemplo 19</t>
  </si>
  <si>
    <t>Jugador de ejemplo 20</t>
  </si>
  <si>
    <t>Jugador de ejemplo 22</t>
  </si>
  <si>
    <t>Jugador de ejemplo 01</t>
  </si>
  <si>
    <t>Jugador de ejemplo 02</t>
  </si>
  <si>
    <t>Jugador de ejemplo 03</t>
  </si>
  <si>
    <t>Jugador de ejemplo 04</t>
  </si>
  <si>
    <t>Jugador de ejemplo 05</t>
  </si>
  <si>
    <t>Jugador de ejemplo 06</t>
  </si>
  <si>
    <t>Jugador de ejemplo 07</t>
  </si>
  <si>
    <t>Jugador de ejemplo 08</t>
  </si>
  <si>
    <t>Jugador de ejemplo 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</si>
</sst>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/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/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9" xfId="0" applyBorder="1" applyAlignment="1"/>
    <xf numFmtId="0" fontId="0" fillId="0" borderId="3" xfId="0" applyBorder="1" applyAlignment="1"/>
    <xf numFmtId="0" fontId="0" fillId="0" borderId="39" xfId="0" applyBorder="1" applyAlignment="1">
      <alignment horizontal="center"/>
    </xf>
    <xf numFmtId="0" fontId="0" fillId="0" borderId="32" xfId="0" applyBorder="1" applyAlignment="1"/>
    <xf numFmtId="0" fontId="0" fillId="0" borderId="34" xfId="0" applyBorder="1" applyAlignment="1"/>
    <xf numFmtId="0" fontId="0" fillId="0" borderId="33" xfId="0" applyBorder="1" applyAlignment="1"/>
    <xf numFmtId="0" fontId="0" fillId="0" borderId="13" xfId="0" applyBorder="1" applyAlignment="1"/>
    <xf numFmtId="0" fontId="0" fillId="0" borderId="1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0" fillId="0" borderId="17" xfId="0" applyBorder="1" applyAlignment="1"/>
    <xf numFmtId="0" fontId="0" fillId="0" borderId="39" xfId="0" applyBorder="1" applyAlignment="1"/>
    <xf numFmtId="0" fontId="0" fillId="0" borderId="19" xfId="0" applyBorder="1" applyAlignment="1"/>
    <xf numFmtId="0" fontId="0" fillId="0" borderId="0" xfId="0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44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0" xfId="0" applyFont="1"/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" xfId="0" applyBorder="1" applyAlignment="1"/>
    <xf numFmtId="0" fontId="0" fillId="0" borderId="26" xfId="0" applyBorder="1" applyAlignment="1"/>
    <xf numFmtId="0" fontId="0" fillId="0" borderId="1" xfId="0" applyBorder="1" applyAlignment="1"/>
    <xf numFmtId="0" fontId="0" fillId="0" borderId="14" xfId="0" applyBorder="1" applyAlignment="1"/>
    <xf numFmtId="0" fontId="0" fillId="0" borderId="16" xfId="0" applyBorder="1" applyAlignment="1"/>
    <xf numFmtId="0" fontId="0" fillId="0" borderId="17" xfId="0" applyBorder="1" applyAlignment="1"/>
    <xf numFmtId="0" fontId="0" fillId="0" borderId="0" xfId="0" applyBorder="1" applyAlignment="1">
      <alignment horizontal="center"/>
    </xf>
    <xf numFmtId="0" fontId="0" fillId="0" borderId="24" xfId="0" applyBorder="1" applyAlignment="1"/>
    <xf numFmtId="0" fontId="0" fillId="0" borderId="25" xfId="0" applyBorder="1" applyAlignment="1"/>
    <xf numFmtId="0" fontId="0" fillId="0" borderId="21" xfId="0" applyBorder="1" applyAlignment="1"/>
    <xf numFmtId="0" fontId="0" fillId="0" borderId="23" xfId="0" applyBorder="1" applyAlignment="1"/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</cellXfs>
  <cellStyles count="1">
    <cellStyle name="Normal" xfId="0" builtinId="0"/>
  </cellStyles>
  <dxfs count="34"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19050</xdr:rowOff>
        </xdr:from>
        <xdr:to>
          <xdr:col>8</xdr:col>
          <xdr:colOff>133350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2562225</xdr:colOff>
          <xdr:row>0</xdr:row>
          <xdr:rowOff>19050</xdr:rowOff>
        </xdr:from>
        <xdr:to>
          <xdr:col>4</xdr:col>
          <xdr:colOff>809625</xdr:colOff>
          <xdr:row>1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847725</xdr:colOff>
          <xdr:row>0</xdr:row>
          <xdr:rowOff>95250</xdr:rowOff>
        </xdr:from>
        <xdr:to>
          <xdr:col>3</xdr:col>
          <xdr:colOff>2571750</xdr:colOff>
          <xdr:row>2</xdr:row>
          <xdr:rowOff>66675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180975</xdr:rowOff>
        </xdr:from>
        <xdr:to>
          <xdr:col>4</xdr:col>
          <xdr:colOff>514350</xdr:colOff>
          <xdr:row>4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icardo Ortega Magaña" refreshedDate="42350.944469212962" backgroundQuery="1" createdVersion="5" refreshedVersion="5" minRefreshableVersion="3" recordCount="0" supportSubquery="1" supportAdvancedDrill="1">
  <cacheSource type="external" connectionId="1"/>
  <cacheFields count="3">
    <cacheField name="[Equipos1].[Equipos registrados].[Equipos registrados]" caption="Equipos registrados" numFmtId="0" hierarchy="23" level="1">
      <sharedItems count="2">
        <s v="Equipo de ejemplo 1"/>
        <s v="Equipo de ejemplo 2"/>
      </sharedItems>
    </cacheField>
    <cacheField name="[Jugadores].[Jugador].[Jugador]" caption="Jugador" numFmtId="0" hierarchy="26" level="1">
      <sharedItems count="21">
        <s v="Jugador de ejemplo 01"/>
        <s v="Jugador de ejemplo 02"/>
        <s v="Jugador de ejemplo 03"/>
        <s v="Jugador de ejemplo 04"/>
        <s v="Jugador de ejemplo 05"/>
        <s v="Jugador de ejemplo 06"/>
        <s v="Jugador de ejemplo 07"/>
        <s v="Jugador de ejemplo 08"/>
        <s v="Jugador de ejemplo 09"/>
        <s v="Jugador de ejemplo 10"/>
        <s v="Jugador de ejemplo 11"/>
        <s v="Jugador de ejemplo 12"/>
        <s v="Jugador de ejemplo 13"/>
        <s v="Jugador de ejemplo 22"/>
        <s v="Jugador de ejemplo 14"/>
        <s v="Jugador de ejemplo 15"/>
        <s v="Jugador de ejemplo 16"/>
        <s v="Jugador de ejemplo 17"/>
        <s v="Jugador de ejemplo 18"/>
        <s v="Jugador de ejemplo 19"/>
        <s v="Jugador de ejemplo 20"/>
      </sharedItems>
    </cacheField>
    <cacheField name="[Measures].[Recuento de Jugador]" caption="Recuento de Jugador" numFmtId="0" hierarchy="43" level="32767"/>
  </cacheFields>
  <cacheHierarchies count="49">
    <cacheHierarchy uniqueName="[ArmadoDeEquipos].[Equipo]" caption="Equipo" attribute="1" defaultMemberUniqueName="[ArmadoDeEquipos].[Equipo].[All]" allUniqueName="[ArmadoDeEquipos].[Equipo].[All]" dimensionUniqueName="[ArmadoDeEquipos]" displayFolder="" count="0" memberValueDatatype="20" unbalanced="0"/>
    <cacheHierarchy uniqueName="[ArmadoDeEquipos].[Jugador]" caption="Jugador" attribute="1" defaultMemberUniqueName="[ArmadoDeEquipos].[Jugador].[All]" allUniqueName="[ArmadoDeEquipos].[Jugador].[All]" dimensionUniqueName="[ArmadoDeEquipos]" displayFolder="" count="0" memberValueDatatype="20" unbalanced="0"/>
    <cacheHierarchy uniqueName="[Equipos].[Activo]" caption="Activo" attribute="1" defaultMemberUniqueName="[Equipos].[Activo].[All]" allUniqueName="[Equipos].[Activo].[All]" dimensionUniqueName="[Equipos]" displayFolder="" count="0" memberValueDatatype="20" unbalanced="0"/>
    <cacheHierarchy uniqueName="[Equipos].[ID]" caption="ID" attribute="1" defaultMemberUniqueName="[Equipos].[ID].[All]" allUniqueName="[Equipos].[ID].[All]" dimensionUniqueName="[Equipos]" displayFolder="" count="0" memberValueDatatype="20" unbalanced="0"/>
    <cacheHierarchy uniqueName="[Equipos].[Equipos registrados]" caption="Equipos registrados" attribute="1" defaultMemberUniqueName="[Equipos].[Equipos registrados].[All]" allUniqueName="[Equipos].[Equipos registrados].[All]" dimensionUniqueName="[Equipos]" displayFolder="" count="0" memberValueDatatype="130" unbalanced="0"/>
    <cacheHierarchy uniqueName="[Equipos].[Jugador 1]" caption="Jugador 1" attribute="1" defaultMemberUniqueName="[Equipos].[Jugador 1].[All]" allUniqueName="[Equipos].[Jugador 1].[All]" dimensionUniqueName="[Equipos]" displayFolder="" count="0" memberValueDatatype="20" unbalanced="0"/>
    <cacheHierarchy uniqueName="[Equipos].[Jugador 2]" caption="Jugador 2" attribute="1" defaultMemberUniqueName="[Equipos].[Jugador 2].[All]" allUniqueName="[Equipos].[Jugador 2].[All]" dimensionUniqueName="[Equipos]" displayFolder="" count="0" memberValueDatatype="20" unbalanced="0"/>
    <cacheHierarchy uniqueName="[Equipos].[Jugador 3]" caption="Jugador 3" attribute="1" defaultMemberUniqueName="[Equipos].[Jugador 3].[All]" allUniqueName="[Equipos].[Jugador 3].[All]" dimensionUniqueName="[Equipos]" displayFolder="" count="0" memberValueDatatype="20" unbalanced="0"/>
    <cacheHierarchy uniqueName="[Equipos].[Jugador 4]" caption="Jugador 4" attribute="1" defaultMemberUniqueName="[Equipos].[Jugador 4].[All]" allUniqueName="[Equipos].[Jugador 4].[All]" dimensionUniqueName="[Equipos]" displayFolder="" count="0" memberValueDatatype="20" unbalanced="0"/>
    <cacheHierarchy uniqueName="[Equipos].[Jugador 5]" caption="Jugador 5" attribute="1" defaultMemberUniqueName="[Equipos].[Jugador 5].[All]" allUniqueName="[Equipos].[Jugador 5].[All]" dimensionUniqueName="[Equipos]" displayFolder="" count="0" memberValueDatatype="20" unbalanced="0"/>
    <cacheHierarchy uniqueName="[Equipos].[Jugador 6]" caption="Jugador 6" attribute="1" defaultMemberUniqueName="[Equipos].[Jugador 6].[All]" allUniqueName="[Equipos].[Jugador 6].[All]" dimensionUniqueName="[Equipos]" displayFolder="" count="0" memberValueDatatype="130" unbalanced="0"/>
    <cacheHierarchy uniqueName="[Equipos].[Jugador 7]" caption="Jugador 7" attribute="1" defaultMemberUniqueName="[Equipos].[Jugador 7].[All]" allUniqueName="[Equipos].[Jugador 7].[All]" dimensionUniqueName="[Equipos]" displayFolder="" count="0" memberValueDatatype="130" unbalanced="0"/>
    <cacheHierarchy uniqueName="[Equipos].[Jugador 8]" caption="Jugador 8" attribute="1" defaultMemberUniqueName="[Equipos].[Jugador 8].[All]" allUniqueName="[Equipos].[Jugador 8].[All]" dimensionUniqueName="[Equipos]" displayFolder="" count="0" memberValueDatatype="130" unbalanced="0"/>
    <cacheHierarchy uniqueName="[Equipos].[Jugador 9]" caption="Jugador 9" attribute="1" defaultMemberUniqueName="[Equipos].[Jugador 9].[All]" allUniqueName="[Equipos].[Jugador 9].[All]" dimensionUniqueName="[Equipos]" displayFolder="" count="0" memberValueDatatype="130" unbalanced="0"/>
    <cacheHierarchy uniqueName="[Equipos].[Jugador 10]" caption="Jugador 10" attribute="1" defaultMemberUniqueName="[Equipos].[Jugador 10].[All]" allUniqueName="[Equipos].[Jugador 10].[All]" dimensionUniqueName="[Equipos]" displayFolder="" count="0" memberValueDatatype="130" unbalanced="0"/>
    <cacheHierarchy uniqueName="[Equipos].[Jugador 11]" caption="Jugador 11" attribute="1" defaultMemberUniqueName="[Equipos].[Jugador 11].[All]" allUniqueName="[Equipos].[Jugador 11].[All]" dimensionUniqueName="[Equipos]" displayFolder="" count="0" memberValueDatatype="130" unbalanced="0"/>
    <cacheHierarchy uniqueName="[Equipos].[Jugador 12]" caption="Jugador 12" attribute="1" defaultMemberUniqueName="[Equipos].[Jugador 12].[All]" allUniqueName="[Equipos].[Jugador 12].[All]" dimensionUniqueName="[Equipos]" displayFolder="" count="0" memberValueDatatype="130" unbalanced="0"/>
    <cacheHierarchy uniqueName="[Equipos].[Jugador 13]" caption="Jugador 13" attribute="1" defaultMemberUniqueName="[Equipos].[Jugador 13].[All]" allUniqueName="[Equipos].[Jugador 13].[All]" dimensionUniqueName="[Equipos]" displayFolder="" count="0" memberValueDatatype="130" unbalanced="0"/>
    <cacheHierarchy uniqueName="[Equipos].[Jugador 14]" caption="Jugador 14" attribute="1" defaultMemberUniqueName="[Equipos].[Jugador 14].[All]" allUniqueName="[Equipos].[Jugador 14].[All]" dimensionUniqueName="[Equipos]" displayFolder="" count="0" memberValueDatatype="130" unbalanced="0"/>
    <cacheHierarchy uniqueName="[Equipos].[Jugador 15]" caption="Jugador 15" attribute="1" defaultMemberUniqueName="[Equipos].[Jugador 15].[All]" allUniqueName="[Equipos].[Jugador 15].[All]" dimensionUniqueName="[Equipos]" displayFolder="" count="0" memberValueDatatype="130" unbalanced="0"/>
    <cacheHierarchy uniqueName="[Equipos].[Jugador 16]" caption="Jugador 16" attribute="1" defaultMemberUniqueName="[Equipos].[Jugador 16].[All]" allUniqueName="[Equipos].[Jugador 16].[All]" dimensionUniqueName="[Equipos]" displayFolder="" count="0" memberValueDatatype="130" unbalanced="0"/>
    <cacheHierarchy uniqueName="[Equipos1].[Activo]" caption="Activo" attribute="1" defaultMemberUniqueName="[Equipos1].[Activo].[All]" allUniqueName="[Equipos1].[Activo].[All]" dimensionUniqueName="[Equipos1]" displayFolder="" count="0" memberValueDatatype="20" unbalanced="0"/>
    <cacheHierarchy uniqueName="[Equipos1].[ID]" caption="ID" attribute="1" defaultMemberUniqueName="[Equipos1].[ID].[All]" allUniqueName="[Equipos1].[ID].[All]" dimensionUniqueName="[Equipos1]" displayFolder="" count="0" memberValueDatatype="20" unbalanced="0"/>
    <cacheHierarchy uniqueName="[Equipos1].[Equipos registrados]" caption="Equipos registrados" attribute="1" defaultMemberUniqueName="[Equipos1].[Equipos registrados].[All]" allUniqueName="[Equipos1].[Equipos registrados].[All]" dimensionUniqueName="[Equipos1]" displayFolder="" count="2" memberValueDatatype="130" unbalanced="0">
      <fieldsUsage count="2">
        <fieldUsage x="-1"/>
        <fieldUsage x="0"/>
      </fieldsUsage>
    </cacheHierarchy>
    <cacheHierarchy uniqueName="[Jugadores].[Activo]" caption="Activo" attribute="1" defaultMemberUniqueName="[Jugadores].[Activo].[All]" allUniqueName="[Jugadores].[Activo].[All]" dimensionUniqueName="[Jugadores]" displayFolder="" count="0" memberValueDatatype="20" unbalanced="0"/>
    <cacheHierarchy uniqueName="[Jugadores].[ID Jugador]" caption="ID Jugador" attribute="1" defaultMemberUniqueName="[Jugadores].[ID Jugador].[All]" allUniqueName="[Jugadores].[ID Jugador].[All]" dimensionUniqueName="[Jugadores]" displayFolder="" count="0" memberValueDatatype="20" unbalanced="0"/>
    <cacheHierarchy uniqueName="[Jugadores].[Jugador]" caption="Jugador" attribute="1" defaultMemberUniqueName="[Jugadores].[Jugador].[All]" allUniqueName="[Jugadores].[Jugador].[All]" dimensionUniqueName="[Jugadores]" displayFolder="" count="2" memberValueDatatype="130" unbalanced="0">
      <fieldsUsage count="2">
        <fieldUsage x="-1"/>
        <fieldUsage x="1"/>
      </fieldsUsage>
    </cacheHierarchy>
    <cacheHierarchy uniqueName="[Jugadores].[Numero]" caption="Numero" attribute="1" defaultMemberUniqueName="[Jugadores].[Numero].[All]" allUniqueName="[Jugadores].[Numero].[All]" dimensionUniqueName="[Jugadores]" displayFolder="" count="0" memberValueDatatype="20" unbalanced="0"/>
    <cacheHierarchy uniqueName="[Jugadores].[Canastas]" caption="Canastas" attribute="1" defaultMemberUniqueName="[Jugadores].[Canastas].[All]" allUniqueName="[Jugadores].[Canastas].[All]" dimensionUniqueName="[Jugadores]" displayFolder="" count="0" memberValueDatatype="20" unbalanced="0"/>
    <cacheHierarchy uniqueName="[Jugadores].[Faltas]" caption="Faltas" attribute="1" defaultMemberUniqueName="[Jugadores].[Faltas].[All]" allUniqueName="[Jugadores].[Faltas].[All]" dimensionUniqueName="[Jugadores]" displayFolder="" count="0" memberValueDatatype="20" unbalanced="0"/>
    <cacheHierarchy uniqueName="[Jugadores].[Juegos]" caption="Juegos" attribute="1" defaultMemberUniqueName="[Jugadores].[Juegos].[All]" allUniqueName="[Jugadores].[Juegos].[All]" dimensionUniqueName="[Jugadores]" displayFolder="" count="0" memberValueDatatype="20" unbalanced="0"/>
    <cacheHierarchy uniqueName="[Jugadores].[Robos]" caption="Robos" attribute="1" defaultMemberUniqueName="[Jugadores].[Robos].[All]" allUniqueName="[Jugadores].[Robos].[All]" dimensionUniqueName="[Jugadores]" displayFolder="" count="0" memberValueDatatype="20" unbalanced="0"/>
    <cacheHierarchy uniqueName="[Jugadores].[Asistencias]" caption="Asistencias" attribute="1" defaultMemberUniqueName="[Jugadores].[Asistencias].[All]" allUniqueName="[Jugadores].[Asistencias].[All]" dimensionUniqueName="[Jugadores]" displayFolder="" count="0" memberValueDatatype="20" unbalanced="0"/>
    <cacheHierarchy uniqueName="[Jugadores].[Rebotes]" caption="Rebotes" attribute="1" defaultMemberUniqueName="[Jugadores].[Rebotes].[All]" allUniqueName="[Jugadores].[Rebotes].[All]" dimensionUniqueName="[Jugadores]" displayFolder="" count="0" memberValueDatatype="20" unbalanced="0"/>
    <cacheHierarchy uniqueName="[Jugadores].[Equipo actual]" caption="Equipo actual" attribute="1" defaultMemberUniqueName="[Jugadores].[Equipo actual].[All]" allUniqueName="[Jugadores].[Equipo actual].[All]" dimensionUniqueName="[Jugadores]" displayFolder="" count="0" memberValueDatatype="130" unbalanced="0"/>
    <cacheHierarchy uniqueName="[Measures].[Suma de Numero]" caption="Suma de Numero" measure="1" displayFolder="" measureGroup="Jugadores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Jugador 1]" caption="Suma de Jugador 1" measure="1" displayFolder="" measureGroup="Equipo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Jugador 2]" caption="Suma de Jugador 2" measure="1" displayFolder="" measureGroup="Equipos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Jugador 3]" caption="Suma de Jugador 3" measure="1" displayFolder="" measureGroup="Equipos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ID]" caption="Suma de ID" measure="1" displayFolder="" measureGroup="Equipo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 Jugador]" caption="Suma de ID Jugador" measure="1" displayFolder="" measureGroup="Jugadores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ID 2]" caption="Suma de ID 2" measure="1" displayFolder="" measureGroup="Equipos1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Promedio de Numero]" caption="Promedio de Numero" measure="1" displayFolder="" measureGroup="Jugadores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Jugador]" caption="Recuento de Jugador" measure="1" displayFolder="" measureGroup="ArmadoDeEquipo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__XL_Count Jugadores]" caption="__XL_Count Jugadores" measure="1" displayFolder="" measureGroup="Jugadores" count="0" hidden="1"/>
    <cacheHierarchy uniqueName="[Measures].[__XL_Count Equipos]" caption="__XL_Count Equipos" measure="1" displayFolder="" measureGroup="Equipos" count="0" hidden="1"/>
    <cacheHierarchy uniqueName="[Measures].[__XL_Count ArmadoDeEquipos]" caption="__XL_Count ArmadoDeEquipos" measure="1" displayFolder="" measureGroup="ArmadoDeEquipos" count="0" hidden="1"/>
    <cacheHierarchy uniqueName="[Measures].[__XL_Count Equipos1]" caption="__XL_Count Equipos1" measure="1" displayFolder="" measureGroup="Equipos1" count="0" hidden="1"/>
    <cacheHierarchy uniqueName="[Measures].[__XL_Count of Models]" caption="__XL_Count of Models" measure="1" displayFolder="" count="0" hidden="1"/>
  </cacheHierarchies>
  <kpis count="0"/>
  <dimensions count="5">
    <dimension name="ArmadoDeEquipos" uniqueName="[ArmadoDeEquipos]" caption="ArmadoDeEquipos"/>
    <dimension name="Equipos" uniqueName="[Equipos]" caption="Equipos"/>
    <dimension name="Equipos1" uniqueName="[Equipos1]" caption="Equipos1"/>
    <dimension name="Jugadores" uniqueName="[Jugadores]" caption="Jugadores"/>
    <dimension measure="1" name="Measures" uniqueName="[Measures]" caption="Measures"/>
  </dimensions>
  <measureGroups count="4">
    <measureGroup name="ArmadoDeEquipos" caption="ArmadoDeEquipos"/>
    <measureGroup name="Equipos" caption="Equipos"/>
    <measureGroup name="Equipos1" caption="Equipos1"/>
    <measureGroup name="Jugadores" caption="Jugadores"/>
  </measureGroups>
  <maps count="6">
    <map measureGroup="0" dimension="0"/>
    <map measureGroup="0" dimension="2"/>
    <map measureGroup="0" dimension="3"/>
    <map measureGroup="1" dimension="1"/>
    <map measureGroup="2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5" cacheId="0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outline="1" outlineData="1" multipleFieldFilters="0" rowHeaderCaption="Equipos">
  <location ref="B3:C26" firstHeaderRow="1" firstDataRow="1" firstDataCol="1"/>
  <pivotFields count="3"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</pivotFields>
  <rowFields count="2">
    <field x="0"/>
    <field x="1"/>
  </rowFields>
  <rowItems count="2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1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</rowItems>
  <colItems count="1">
    <i/>
  </colItems>
  <dataFields count="1">
    <dataField name="Número de jugadores" fld="2" subtotal="count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úmero de jugad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rmadoDeEquipos]"/>
        <x15:activeTabTopLevelEntity name="[Equipos1]"/>
        <x15:activeTabTopLevelEntity name="[Jugadores]"/>
        <x15:activeTabTopLevelEntity name="[Equipos]"/>
      </x15:pivotTableUISettings>
    </ext>
  </extLst>
</pivotTableDefinition>
</file>

<file path=xl/tables/table1.xml><?xml version="1.0" encoding="utf-8"?>
<table xmlns="http://schemas.openxmlformats.org/spreadsheetml/2006/main" id="1" name="Jugadores" displayName="Jugadores" ref="B4:L25" totalsRowShown="0" headerRowDxfId="31" dataDxfId="29" headerRowBorderDxfId="30" tableBorderDxfId="28">
  <autoFilter ref="B4:L25"/>
  <sortState ref="B5:L25">
    <sortCondition ref="D4:D25"/>
  </sortState>
  <tableColumns count="11">
    <tableColumn id="1" name="Activo" dataDxfId="27"/>
    <tableColumn id="2" name="ID Jugador" dataDxfId="26">
      <calculatedColumnFormula>ROW()-4</calculatedColumnFormula>
    </tableColumn>
    <tableColumn id="3" name="Jugador" dataDxfId="25"/>
    <tableColumn id="4" name="Numero" dataDxfId="24"/>
    <tableColumn id="5" name="Canastas" dataDxfId="23"/>
    <tableColumn id="6" name="Faltas" dataDxfId="22"/>
    <tableColumn id="7" name="Juegos" dataDxfId="21"/>
    <tableColumn id="8" name="Robos" dataDxfId="20"/>
    <tableColumn id="9" name="Asistencias" dataDxfId="19"/>
    <tableColumn id="10" name="Rebotes" dataDxfId="18"/>
    <tableColumn id="11" name="Equipo actual" dataDxfId="17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4" name="Equipos" displayName="Equipos" ref="B4:D9" totalsRowShown="0" headerRowDxfId="16" dataDxfId="14" headerRowBorderDxfId="15" tableBorderDxfId="13">
  <autoFilter ref="B4:D9"/>
  <tableColumns count="3">
    <tableColumn id="1" name="Activo" dataDxfId="12"/>
    <tableColumn id="2" name="ID" dataDxfId="11">
      <calculatedColumnFormula>ROW()-4</calculatedColumnFormula>
    </tableColumn>
    <tableColumn id="3" name="Equipos registrados" dataDxfId="1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ArmadoDeEquipos" displayName="ArmadoDeEquipos" ref="B4:C25" totalsRowShown="0" headerRowDxfId="9" dataDxfId="8">
  <autoFilter ref="B4:C25"/>
  <tableColumns count="2">
    <tableColumn id="1" name="Equipo" dataDxfId="7"/>
    <tableColumn id="2" name="Jugador" dataDxfId="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4:L25"/>
  <sheetViews>
    <sheetView workbookViewId="0">
      <selection activeCell="D15" sqref="D15"/>
    </sheetView>
  </sheetViews>
  <sheetFormatPr baseColWidth="10" defaultRowHeight="15" x14ac:dyDescent="0.25"/>
  <cols>
    <col min="3" max="3" width="12.28515625" customWidth="1"/>
    <col min="4" max="4" width="57.140625" customWidth="1"/>
    <col min="5" max="5" width="12.85546875" bestFit="1" customWidth="1"/>
    <col min="6" max="6" width="13.28515625" bestFit="1" customWidth="1"/>
    <col min="7" max="7" width="10.7109375" bestFit="1" customWidth="1"/>
    <col min="8" max="8" width="11.5703125" bestFit="1" customWidth="1"/>
    <col min="9" max="9" width="11" bestFit="1" customWidth="1"/>
    <col min="10" max="10" width="15.42578125" bestFit="1" customWidth="1"/>
    <col min="11" max="11" width="12.85546875" bestFit="1" customWidth="1"/>
    <col min="12" max="12" width="18.85546875" customWidth="1"/>
  </cols>
  <sheetData>
    <row r="4" spans="2:12" ht="15.75" thickBot="1" x14ac:dyDescent="0.3">
      <c r="B4" s="48" t="s">
        <v>34</v>
      </c>
      <c r="C4" s="49" t="s">
        <v>31</v>
      </c>
      <c r="D4" s="49" t="s">
        <v>32</v>
      </c>
      <c r="E4" s="50" t="s">
        <v>33</v>
      </c>
      <c r="F4" s="54" t="s">
        <v>14</v>
      </c>
      <c r="G4" s="54" t="s">
        <v>7</v>
      </c>
      <c r="H4" s="54" t="s">
        <v>43</v>
      </c>
      <c r="I4" s="54" t="s">
        <v>44</v>
      </c>
      <c r="J4" s="54" t="s">
        <v>45</v>
      </c>
      <c r="K4" s="54" t="s">
        <v>46</v>
      </c>
      <c r="L4" s="54" t="s">
        <v>47</v>
      </c>
    </row>
    <row r="5" spans="2:12" x14ac:dyDescent="0.25">
      <c r="B5" s="1">
        <v>1</v>
      </c>
      <c r="C5" s="1">
        <v>1</v>
      </c>
      <c r="D5" s="1" t="s">
        <v>60</v>
      </c>
      <c r="E5" s="1">
        <v>20</v>
      </c>
      <c r="F5" s="1">
        <v>10</v>
      </c>
      <c r="G5" s="1">
        <v>0</v>
      </c>
      <c r="H5" s="1">
        <v>8</v>
      </c>
      <c r="I5" s="1">
        <v>0</v>
      </c>
      <c r="J5" s="1">
        <v>0</v>
      </c>
      <c r="K5" s="1">
        <v>0</v>
      </c>
      <c r="L5" s="1" t="s">
        <v>35</v>
      </c>
    </row>
    <row r="6" spans="2:12" x14ac:dyDescent="0.25">
      <c r="B6" s="1">
        <v>1</v>
      </c>
      <c r="C6" s="1">
        <v>2</v>
      </c>
      <c r="D6" s="1" t="s">
        <v>61</v>
      </c>
      <c r="E6" s="1">
        <v>21</v>
      </c>
      <c r="F6" s="1">
        <v>12</v>
      </c>
      <c r="G6" s="1">
        <v>0</v>
      </c>
      <c r="H6" s="1">
        <v>8</v>
      </c>
      <c r="I6" s="1">
        <v>0</v>
      </c>
      <c r="J6" s="1">
        <v>0</v>
      </c>
      <c r="K6" s="1">
        <v>0</v>
      </c>
      <c r="L6" s="1" t="s">
        <v>35</v>
      </c>
    </row>
    <row r="7" spans="2:12" x14ac:dyDescent="0.25">
      <c r="B7" s="1">
        <v>1</v>
      </c>
      <c r="C7" s="1">
        <v>3</v>
      </c>
      <c r="D7" s="1" t="s">
        <v>62</v>
      </c>
      <c r="E7" s="1">
        <v>22</v>
      </c>
      <c r="F7" s="1">
        <v>18</v>
      </c>
      <c r="G7" s="1">
        <v>0</v>
      </c>
      <c r="H7" s="1">
        <v>9</v>
      </c>
      <c r="I7" s="1">
        <v>0</v>
      </c>
      <c r="J7" s="1">
        <v>0</v>
      </c>
      <c r="K7" s="1">
        <v>0</v>
      </c>
      <c r="L7" s="1" t="s">
        <v>35</v>
      </c>
    </row>
    <row r="8" spans="2:12" x14ac:dyDescent="0.25">
      <c r="B8" s="1">
        <v>1</v>
      </c>
      <c r="C8" s="1">
        <v>4</v>
      </c>
      <c r="D8" s="1" t="s">
        <v>63</v>
      </c>
      <c r="E8" s="1">
        <v>23</v>
      </c>
      <c r="F8" s="1">
        <v>9</v>
      </c>
      <c r="G8" s="1">
        <v>0</v>
      </c>
      <c r="H8" s="1">
        <v>8</v>
      </c>
      <c r="I8" s="1">
        <v>0</v>
      </c>
      <c r="J8" s="1">
        <v>0</v>
      </c>
      <c r="K8" s="1">
        <v>0</v>
      </c>
      <c r="L8" s="1" t="s">
        <v>36</v>
      </c>
    </row>
    <row r="9" spans="2:12" x14ac:dyDescent="0.25">
      <c r="B9" s="1">
        <v>1</v>
      </c>
      <c r="C9" s="1">
        <v>5</v>
      </c>
      <c r="D9" s="1" t="s">
        <v>64</v>
      </c>
      <c r="E9" s="1">
        <v>24</v>
      </c>
      <c r="F9" s="1">
        <v>10</v>
      </c>
      <c r="G9" s="1">
        <v>0</v>
      </c>
      <c r="H9" s="1">
        <v>8</v>
      </c>
      <c r="I9" s="1">
        <v>0</v>
      </c>
      <c r="J9" s="1">
        <v>0</v>
      </c>
      <c r="K9" s="1">
        <v>0</v>
      </c>
      <c r="L9" s="1" t="s">
        <v>35</v>
      </c>
    </row>
    <row r="10" spans="2:12" x14ac:dyDescent="0.25">
      <c r="B10" s="1">
        <v>1</v>
      </c>
      <c r="C10" s="1">
        <v>6</v>
      </c>
      <c r="D10" s="1" t="s">
        <v>65</v>
      </c>
      <c r="E10" s="1">
        <v>25</v>
      </c>
      <c r="F10" s="1">
        <v>0</v>
      </c>
      <c r="G10" s="1">
        <v>0</v>
      </c>
      <c r="H10" s="1">
        <v>8</v>
      </c>
      <c r="I10" s="1">
        <v>0</v>
      </c>
      <c r="J10" s="1">
        <v>0</v>
      </c>
      <c r="K10" s="1">
        <v>0</v>
      </c>
      <c r="L10" s="1" t="s">
        <v>36</v>
      </c>
    </row>
    <row r="11" spans="2:12" x14ac:dyDescent="0.25">
      <c r="B11" s="1">
        <v>1</v>
      </c>
      <c r="C11" s="1">
        <v>7</v>
      </c>
      <c r="D11" s="1" t="s">
        <v>66</v>
      </c>
      <c r="E11" s="1">
        <v>26</v>
      </c>
      <c r="F11" s="1">
        <v>18</v>
      </c>
      <c r="G11" s="1">
        <v>0</v>
      </c>
      <c r="H11" s="1">
        <v>8</v>
      </c>
      <c r="I11" s="1">
        <v>0</v>
      </c>
      <c r="J11" s="1">
        <v>0</v>
      </c>
      <c r="K11" s="1">
        <v>0</v>
      </c>
      <c r="L11" s="1" t="s">
        <v>36</v>
      </c>
    </row>
    <row r="12" spans="2:12" x14ac:dyDescent="0.25">
      <c r="B12" s="1">
        <v>1</v>
      </c>
      <c r="C12" s="1">
        <v>8</v>
      </c>
      <c r="D12" s="1" t="s">
        <v>67</v>
      </c>
      <c r="E12" s="1">
        <v>27</v>
      </c>
      <c r="F12" s="1">
        <v>0</v>
      </c>
      <c r="G12" s="1">
        <v>0</v>
      </c>
      <c r="H12" s="1">
        <v>8</v>
      </c>
      <c r="I12" s="1">
        <v>0</v>
      </c>
      <c r="J12" s="1">
        <v>0</v>
      </c>
      <c r="K12" s="1">
        <v>0</v>
      </c>
      <c r="L12" s="1" t="s">
        <v>36</v>
      </c>
    </row>
    <row r="13" spans="2:12" x14ac:dyDescent="0.25">
      <c r="B13" s="1">
        <v>1</v>
      </c>
      <c r="C13" s="1">
        <v>9</v>
      </c>
      <c r="D13" s="1" t="s">
        <v>68</v>
      </c>
      <c r="E13" s="1">
        <v>28</v>
      </c>
      <c r="F13" s="1">
        <v>0</v>
      </c>
      <c r="G13" s="1">
        <v>0</v>
      </c>
      <c r="H13" s="1">
        <v>8</v>
      </c>
      <c r="I13" s="1">
        <v>0</v>
      </c>
      <c r="J13" s="1">
        <v>0</v>
      </c>
      <c r="K13" s="1">
        <v>0</v>
      </c>
      <c r="L13" s="1" t="s">
        <v>35</v>
      </c>
    </row>
    <row r="14" spans="2:12" x14ac:dyDescent="0.25">
      <c r="B14" s="1">
        <v>1</v>
      </c>
      <c r="C14" s="1">
        <v>10</v>
      </c>
      <c r="D14" s="1" t="s">
        <v>48</v>
      </c>
      <c r="E14" s="1">
        <v>29</v>
      </c>
      <c r="F14" s="1">
        <v>10</v>
      </c>
      <c r="G14" s="1">
        <v>0</v>
      </c>
      <c r="H14" s="1">
        <v>8</v>
      </c>
      <c r="I14" s="1">
        <v>0</v>
      </c>
      <c r="J14" s="1">
        <v>0</v>
      </c>
      <c r="K14" s="1">
        <v>0</v>
      </c>
      <c r="L14" s="1" t="s">
        <v>35</v>
      </c>
    </row>
    <row r="15" spans="2:12" x14ac:dyDescent="0.25">
      <c r="B15" s="1">
        <v>1</v>
      </c>
      <c r="C15" s="1">
        <v>11</v>
      </c>
      <c r="D15" s="1" t="s">
        <v>49</v>
      </c>
      <c r="E15" s="1">
        <v>30</v>
      </c>
      <c r="F15" s="1">
        <v>0</v>
      </c>
      <c r="G15" s="1">
        <v>0</v>
      </c>
      <c r="H15" s="1">
        <v>8</v>
      </c>
      <c r="I15" s="1">
        <v>0</v>
      </c>
      <c r="J15" s="1">
        <v>0</v>
      </c>
      <c r="K15" s="1">
        <v>0</v>
      </c>
      <c r="L15" s="1" t="s">
        <v>36</v>
      </c>
    </row>
    <row r="16" spans="2:12" x14ac:dyDescent="0.25">
      <c r="B16" s="1">
        <v>1</v>
      </c>
      <c r="C16" s="1">
        <v>12</v>
      </c>
      <c r="D16" s="1" t="s">
        <v>50</v>
      </c>
      <c r="E16" s="1">
        <v>31</v>
      </c>
      <c r="F16" s="1">
        <v>0</v>
      </c>
      <c r="G16" s="1">
        <v>0</v>
      </c>
      <c r="H16" s="1">
        <v>8</v>
      </c>
      <c r="I16" s="1">
        <v>0</v>
      </c>
      <c r="J16" s="1">
        <v>0</v>
      </c>
      <c r="K16" s="1">
        <v>0</v>
      </c>
      <c r="L16" s="1" t="s">
        <v>35</v>
      </c>
    </row>
    <row r="17" spans="2:12" x14ac:dyDescent="0.25">
      <c r="B17" s="1">
        <v>1</v>
      </c>
      <c r="C17" s="1">
        <v>13</v>
      </c>
      <c r="D17" s="1" t="s">
        <v>51</v>
      </c>
      <c r="E17" s="1">
        <v>32</v>
      </c>
      <c r="F17" s="1">
        <v>0</v>
      </c>
      <c r="G17" s="1">
        <v>0</v>
      </c>
      <c r="H17" s="1">
        <v>8</v>
      </c>
      <c r="I17" s="1">
        <v>0</v>
      </c>
      <c r="J17" s="1">
        <v>0</v>
      </c>
      <c r="K17" s="1">
        <v>0</v>
      </c>
      <c r="L17" s="1" t="s">
        <v>35</v>
      </c>
    </row>
    <row r="18" spans="2:12" x14ac:dyDescent="0.25">
      <c r="B18" s="1">
        <v>1</v>
      </c>
      <c r="C18" s="1">
        <v>14</v>
      </c>
      <c r="D18" s="1" t="s">
        <v>52</v>
      </c>
      <c r="E18" s="1">
        <v>33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 t="s">
        <v>35</v>
      </c>
    </row>
    <row r="19" spans="2:12" x14ac:dyDescent="0.25">
      <c r="B19" s="1">
        <v>1</v>
      </c>
      <c r="C19" s="1">
        <v>15</v>
      </c>
      <c r="D19" s="1" t="s">
        <v>53</v>
      </c>
      <c r="E19" s="1">
        <v>34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 t="s">
        <v>35</v>
      </c>
    </row>
    <row r="20" spans="2:12" x14ac:dyDescent="0.25">
      <c r="B20" s="1">
        <v>1</v>
      </c>
      <c r="C20" s="1">
        <v>16</v>
      </c>
      <c r="D20" s="1" t="s">
        <v>54</v>
      </c>
      <c r="E20" s="1">
        <v>35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 t="s">
        <v>35</v>
      </c>
    </row>
    <row r="21" spans="2:12" x14ac:dyDescent="0.25">
      <c r="B21" s="1">
        <v>1</v>
      </c>
      <c r="C21" s="1">
        <v>17</v>
      </c>
      <c r="D21" s="1" t="s">
        <v>55</v>
      </c>
      <c r="E21" s="1">
        <v>36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 t="s">
        <v>36</v>
      </c>
    </row>
    <row r="22" spans="2:12" x14ac:dyDescent="0.25">
      <c r="B22" s="1">
        <v>1</v>
      </c>
      <c r="C22" s="1">
        <v>18</v>
      </c>
      <c r="D22" s="1" t="s">
        <v>56</v>
      </c>
      <c r="E22" s="1">
        <v>37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 t="s">
        <v>35</v>
      </c>
    </row>
    <row r="23" spans="2:12" x14ac:dyDescent="0.25">
      <c r="B23" s="1">
        <v>1</v>
      </c>
      <c r="C23" s="1">
        <v>19</v>
      </c>
      <c r="D23" s="1" t="s">
        <v>57</v>
      </c>
      <c r="E23" s="1">
        <v>38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 t="s">
        <v>35</v>
      </c>
    </row>
    <row r="24" spans="2:12" x14ac:dyDescent="0.25">
      <c r="B24" s="1">
        <v>1</v>
      </c>
      <c r="C24" s="1">
        <v>20</v>
      </c>
      <c r="D24" s="1" t="s">
        <v>58</v>
      </c>
      <c r="E24" s="1">
        <v>39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 t="s">
        <v>36</v>
      </c>
    </row>
    <row r="25" spans="2:12" x14ac:dyDescent="0.25">
      <c r="B25" s="1">
        <v>1</v>
      </c>
      <c r="C25" s="1">
        <v>21</v>
      </c>
      <c r="D25" s="1" t="s">
        <v>59</v>
      </c>
      <c r="E25" s="1">
        <v>55</v>
      </c>
      <c r="F25" s="1">
        <v>0</v>
      </c>
      <c r="G25" s="1">
        <v>0</v>
      </c>
      <c r="H25" s="1">
        <v>8</v>
      </c>
      <c r="I25" s="1">
        <v>0</v>
      </c>
      <c r="J25" s="1">
        <v>0</v>
      </c>
      <c r="K25" s="1">
        <v>0</v>
      </c>
      <c r="L25" s="1" t="s">
        <v>35</v>
      </c>
    </row>
  </sheetData>
  <pageMargins left="0.7" right="0.7" top="0.75" bottom="0.75" header="0.3" footer="0.3"/>
  <pageSetup orientation="portrait" r:id="rId1"/>
  <ignoredErrors>
    <ignoredError sqref="C5 C6:C25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19050</xdr:rowOff>
              </from>
              <to>
                <xdr:col>8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3</xdr:col>
                <xdr:colOff>2562225</xdr:colOff>
                <xdr:row>0</xdr:row>
                <xdr:rowOff>19050</xdr:rowOff>
              </from>
              <to>
                <xdr:col>4</xdr:col>
                <xdr:colOff>809625</xdr:colOff>
                <xdr:row>1</xdr:row>
                <xdr:rowOff>152400</xdr:rowOff>
              </to>
            </anchor>
          </controlPr>
        </control>
      </mc:Choice>
      <mc:Fallback>
        <control shapeId="1026" r:id="rId6" name="CommandButton2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3:D14"/>
  <sheetViews>
    <sheetView workbookViewId="0">
      <selection activeCell="D9" sqref="D9"/>
    </sheetView>
  </sheetViews>
  <sheetFormatPr baseColWidth="10" defaultRowHeight="15" x14ac:dyDescent="0.25"/>
  <cols>
    <col min="4" max="4" width="43.28515625" customWidth="1"/>
  </cols>
  <sheetData>
    <row r="3" spans="2:4" ht="15.75" thickBot="1" x14ac:dyDescent="0.3"/>
    <row r="4" spans="2:4" ht="15.75" thickBot="1" x14ac:dyDescent="0.3">
      <c r="B4" s="55" t="s">
        <v>34</v>
      </c>
      <c r="C4" s="56" t="s">
        <v>30</v>
      </c>
      <c r="D4" s="57" t="s">
        <v>29</v>
      </c>
    </row>
    <row r="5" spans="2:4" x14ac:dyDescent="0.25">
      <c r="B5" s="51">
        <v>1</v>
      </c>
      <c r="C5" s="51">
        <f>ROW()-4</f>
        <v>1</v>
      </c>
      <c r="D5" s="51" t="s">
        <v>35</v>
      </c>
    </row>
    <row r="6" spans="2:4" x14ac:dyDescent="0.25">
      <c r="B6" s="51">
        <v>1</v>
      </c>
      <c r="C6" s="51">
        <f t="shared" ref="C6:C9" si="0">ROW()-4</f>
        <v>2</v>
      </c>
      <c r="D6" s="51" t="s">
        <v>36</v>
      </c>
    </row>
    <row r="7" spans="2:4" x14ac:dyDescent="0.25">
      <c r="B7" s="51">
        <v>1</v>
      </c>
      <c r="C7" s="51">
        <f t="shared" si="0"/>
        <v>3</v>
      </c>
      <c r="D7" s="51" t="s">
        <v>37</v>
      </c>
    </row>
    <row r="8" spans="2:4" x14ac:dyDescent="0.25">
      <c r="B8" s="51">
        <v>1</v>
      </c>
      <c r="C8" s="51">
        <f t="shared" si="0"/>
        <v>4</v>
      </c>
      <c r="D8" s="51" t="s">
        <v>38</v>
      </c>
    </row>
    <row r="9" spans="2:4" x14ac:dyDescent="0.25">
      <c r="B9" s="51">
        <v>1</v>
      </c>
      <c r="C9" s="51">
        <f t="shared" si="0"/>
        <v>5</v>
      </c>
      <c r="D9" s="51" t="s">
        <v>39</v>
      </c>
    </row>
    <row r="14" spans="2:4" x14ac:dyDescent="0.25">
      <c r="D14" s="5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</xdr:col>
                <xdr:colOff>847725</xdr:colOff>
                <xdr:row>0</xdr:row>
                <xdr:rowOff>95250</xdr:rowOff>
              </from>
              <to>
                <xdr:col>3</xdr:col>
                <xdr:colOff>2571750</xdr:colOff>
                <xdr:row>2</xdr:row>
                <xdr:rowOff>66675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4:C25"/>
  <sheetViews>
    <sheetView workbookViewId="0">
      <selection activeCell="C6" sqref="C6"/>
    </sheetView>
  </sheetViews>
  <sheetFormatPr baseColWidth="10" defaultRowHeight="15" x14ac:dyDescent="0.25"/>
  <cols>
    <col min="2" max="2" width="11.7109375" bestFit="1" customWidth="1"/>
    <col min="3" max="3" width="12.42578125" bestFit="1" customWidth="1"/>
  </cols>
  <sheetData>
    <row r="4" spans="2:3" x14ac:dyDescent="0.25">
      <c r="B4" s="1" t="s">
        <v>40</v>
      </c>
      <c r="C4" s="1" t="s">
        <v>32</v>
      </c>
    </row>
    <row r="5" spans="2:3" x14ac:dyDescent="0.25">
      <c r="B5" s="1">
        <v>1</v>
      </c>
      <c r="C5" s="1">
        <v>1</v>
      </c>
    </row>
    <row r="6" spans="2:3" x14ac:dyDescent="0.25">
      <c r="B6" s="1">
        <v>1</v>
      </c>
      <c r="C6" s="1">
        <v>2</v>
      </c>
    </row>
    <row r="7" spans="2:3" x14ac:dyDescent="0.25">
      <c r="B7" s="1">
        <v>1</v>
      </c>
      <c r="C7" s="1">
        <v>3</v>
      </c>
    </row>
    <row r="8" spans="2:3" x14ac:dyDescent="0.25">
      <c r="B8" s="1">
        <v>1</v>
      </c>
      <c r="C8" s="1">
        <v>4</v>
      </c>
    </row>
    <row r="9" spans="2:3" x14ac:dyDescent="0.25">
      <c r="B9" s="1">
        <v>1</v>
      </c>
      <c r="C9" s="1">
        <v>5</v>
      </c>
    </row>
    <row r="10" spans="2:3" x14ac:dyDescent="0.25">
      <c r="B10" s="1">
        <v>1</v>
      </c>
      <c r="C10" s="1">
        <v>6</v>
      </c>
    </row>
    <row r="11" spans="2:3" x14ac:dyDescent="0.25">
      <c r="B11" s="1">
        <v>1</v>
      </c>
      <c r="C11" s="1">
        <v>7</v>
      </c>
    </row>
    <row r="12" spans="2:3" x14ac:dyDescent="0.25">
      <c r="B12" s="1">
        <v>1</v>
      </c>
      <c r="C12" s="1">
        <v>8</v>
      </c>
    </row>
    <row r="13" spans="2:3" x14ac:dyDescent="0.25">
      <c r="B13" s="1">
        <v>1</v>
      </c>
      <c r="C13" s="1">
        <v>9</v>
      </c>
    </row>
    <row r="14" spans="2:3" x14ac:dyDescent="0.25">
      <c r="B14" s="1">
        <v>1</v>
      </c>
      <c r="C14" s="1">
        <v>10</v>
      </c>
    </row>
    <row r="15" spans="2:3" x14ac:dyDescent="0.25">
      <c r="B15" s="1">
        <v>1</v>
      </c>
      <c r="C15" s="1">
        <v>11</v>
      </c>
    </row>
    <row r="16" spans="2:3" x14ac:dyDescent="0.25">
      <c r="B16" s="1">
        <v>1</v>
      </c>
      <c r="C16" s="1">
        <v>12</v>
      </c>
    </row>
    <row r="17" spans="2:3" x14ac:dyDescent="0.25">
      <c r="B17" s="1">
        <v>1</v>
      </c>
      <c r="C17" s="1">
        <v>13</v>
      </c>
    </row>
    <row r="18" spans="2:3" x14ac:dyDescent="0.25">
      <c r="B18" s="1">
        <v>2</v>
      </c>
      <c r="C18" s="1">
        <v>14</v>
      </c>
    </row>
    <row r="19" spans="2:3" x14ac:dyDescent="0.25">
      <c r="B19" s="1">
        <v>2</v>
      </c>
      <c r="C19" s="1">
        <v>15</v>
      </c>
    </row>
    <row r="20" spans="2:3" x14ac:dyDescent="0.25">
      <c r="B20" s="1">
        <v>2</v>
      </c>
      <c r="C20" s="1">
        <v>16</v>
      </c>
    </row>
    <row r="21" spans="2:3" x14ac:dyDescent="0.25">
      <c r="B21" s="1">
        <v>2</v>
      </c>
      <c r="C21" s="1">
        <v>17</v>
      </c>
    </row>
    <row r="22" spans="2:3" x14ac:dyDescent="0.25">
      <c r="B22" s="1">
        <v>2</v>
      </c>
      <c r="C22" s="1">
        <v>18</v>
      </c>
    </row>
    <row r="23" spans="2:3" x14ac:dyDescent="0.25">
      <c r="B23" s="1">
        <v>2</v>
      </c>
      <c r="C23" s="1">
        <v>19</v>
      </c>
    </row>
    <row r="24" spans="2:3" x14ac:dyDescent="0.25">
      <c r="B24" s="1">
        <v>2</v>
      </c>
      <c r="C24" s="1">
        <v>20</v>
      </c>
    </row>
    <row r="25" spans="2:3" x14ac:dyDescent="0.25">
      <c r="B25" s="1">
        <v>1</v>
      </c>
      <c r="C25" s="1">
        <v>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3:C26"/>
  <sheetViews>
    <sheetView workbookViewId="0">
      <selection activeCell="G21" sqref="G21"/>
    </sheetView>
  </sheetViews>
  <sheetFormatPr baseColWidth="10" defaultRowHeight="15" x14ac:dyDescent="0.25"/>
  <cols>
    <col min="1" max="1" width="59.7109375" customWidth="1"/>
    <col min="2" max="2" width="22.85546875" bestFit="1" customWidth="1"/>
    <col min="3" max="3" width="20.28515625" bestFit="1" customWidth="1"/>
    <col min="4" max="4" width="15.85546875" customWidth="1"/>
    <col min="5" max="5" width="15.85546875" bestFit="1" customWidth="1"/>
    <col min="6" max="6" width="18.28515625" bestFit="1" customWidth="1"/>
  </cols>
  <sheetData>
    <row r="3" spans="2:3" x14ac:dyDescent="0.25">
      <c r="B3" s="52" t="s">
        <v>42</v>
      </c>
      <c r="C3" s="1" t="s">
        <v>41</v>
      </c>
    </row>
    <row r="4" spans="2:3" x14ac:dyDescent="0.25">
      <c r="B4" s="1" t="s">
        <v>35</v>
      </c>
      <c r="C4" s="53">
        <v>14</v>
      </c>
    </row>
    <row r="5" spans="2:3" x14ac:dyDescent="0.25">
      <c r="B5" s="1" t="s">
        <v>60</v>
      </c>
      <c r="C5" s="53">
        <v>1</v>
      </c>
    </row>
    <row r="6" spans="2:3" x14ac:dyDescent="0.25">
      <c r="B6" s="1" t="s">
        <v>61</v>
      </c>
      <c r="C6" s="53">
        <v>1</v>
      </c>
    </row>
    <row r="7" spans="2:3" x14ac:dyDescent="0.25">
      <c r="B7" s="1" t="s">
        <v>62</v>
      </c>
      <c r="C7" s="53">
        <v>1</v>
      </c>
    </row>
    <row r="8" spans="2:3" x14ac:dyDescent="0.25">
      <c r="B8" s="1" t="s">
        <v>63</v>
      </c>
      <c r="C8" s="53">
        <v>1</v>
      </c>
    </row>
    <row r="9" spans="2:3" x14ac:dyDescent="0.25">
      <c r="B9" s="1" t="s">
        <v>64</v>
      </c>
      <c r="C9" s="53">
        <v>1</v>
      </c>
    </row>
    <row r="10" spans="2:3" x14ac:dyDescent="0.25">
      <c r="B10" s="1" t="s">
        <v>65</v>
      </c>
      <c r="C10" s="53">
        <v>1</v>
      </c>
    </row>
    <row r="11" spans="2:3" x14ac:dyDescent="0.25">
      <c r="B11" s="1" t="s">
        <v>66</v>
      </c>
      <c r="C11" s="53">
        <v>1</v>
      </c>
    </row>
    <row r="12" spans="2:3" x14ac:dyDescent="0.25">
      <c r="B12" s="1" t="s">
        <v>67</v>
      </c>
      <c r="C12" s="53">
        <v>1</v>
      </c>
    </row>
    <row r="13" spans="2:3" x14ac:dyDescent="0.25">
      <c r="B13" s="1" t="s">
        <v>68</v>
      </c>
      <c r="C13" s="53">
        <v>1</v>
      </c>
    </row>
    <row r="14" spans="2:3" x14ac:dyDescent="0.25">
      <c r="B14" s="1" t="s">
        <v>48</v>
      </c>
      <c r="C14" s="53">
        <v>1</v>
      </c>
    </row>
    <row r="15" spans="2:3" x14ac:dyDescent="0.25">
      <c r="B15" s="1" t="s">
        <v>49</v>
      </c>
      <c r="C15" s="53">
        <v>1</v>
      </c>
    </row>
    <row r="16" spans="2:3" x14ac:dyDescent="0.25">
      <c r="B16" s="1" t="s">
        <v>50</v>
      </c>
      <c r="C16" s="53">
        <v>1</v>
      </c>
    </row>
    <row r="17" spans="2:3" x14ac:dyDescent="0.25">
      <c r="B17" s="1" t="s">
        <v>51</v>
      </c>
      <c r="C17" s="53">
        <v>1</v>
      </c>
    </row>
    <row r="18" spans="2:3" x14ac:dyDescent="0.25">
      <c r="B18" s="1" t="s">
        <v>59</v>
      </c>
      <c r="C18" s="53">
        <v>1</v>
      </c>
    </row>
    <row r="19" spans="2:3" x14ac:dyDescent="0.25">
      <c r="B19" s="1" t="s">
        <v>36</v>
      </c>
      <c r="C19" s="53">
        <v>7</v>
      </c>
    </row>
    <row r="20" spans="2:3" x14ac:dyDescent="0.25">
      <c r="B20" s="1" t="s">
        <v>52</v>
      </c>
      <c r="C20" s="53">
        <v>1</v>
      </c>
    </row>
    <row r="21" spans="2:3" x14ac:dyDescent="0.25">
      <c r="B21" s="1" t="s">
        <v>53</v>
      </c>
      <c r="C21" s="53">
        <v>1</v>
      </c>
    </row>
    <row r="22" spans="2:3" x14ac:dyDescent="0.25">
      <c r="B22" s="1" t="s">
        <v>54</v>
      </c>
      <c r="C22" s="53">
        <v>1</v>
      </c>
    </row>
    <row r="23" spans="2:3" x14ac:dyDescent="0.25">
      <c r="B23" s="1" t="s">
        <v>55</v>
      </c>
      <c r="C23" s="53">
        <v>1</v>
      </c>
    </row>
    <row r="24" spans="2:3" x14ac:dyDescent="0.25">
      <c r="B24" s="1" t="s">
        <v>56</v>
      </c>
      <c r="C24" s="53">
        <v>1</v>
      </c>
    </row>
    <row r="25" spans="2:3" x14ac:dyDescent="0.25">
      <c r="B25" s="1" t="s">
        <v>57</v>
      </c>
      <c r="C25" s="53">
        <v>1</v>
      </c>
    </row>
    <row r="26" spans="2:3" x14ac:dyDescent="0.25">
      <c r="B26" s="1" t="s">
        <v>58</v>
      </c>
      <c r="C26" s="53">
        <v>1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247650</xdr:colOff>
                <xdr:row>1</xdr:row>
                <xdr:rowOff>180975</xdr:rowOff>
              </from>
              <to>
                <xdr:col>4</xdr:col>
                <xdr:colOff>514350</xdr:colOff>
                <xdr:row>4</xdr:row>
                <xdr:rowOff>57150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L68"/>
  <sheetViews>
    <sheetView tabSelected="1" view="pageLayout" topLeftCell="A55" zoomScaleNormal="100" workbookViewId="0">
      <selection activeCell="J66" sqref="J66:L66"/>
    </sheetView>
  </sheetViews>
  <sheetFormatPr baseColWidth="10" defaultRowHeight="15" x14ac:dyDescent="0.25"/>
  <cols>
    <col min="1" max="1" width="7.7109375" customWidth="1"/>
    <col min="2" max="2" width="4.28515625" customWidth="1"/>
    <col min="3" max="6" width="4.7109375" customWidth="1"/>
    <col min="7" max="7" width="10.5703125" customWidth="1"/>
    <col min="8" max="9" width="16.85546875" customWidth="1"/>
    <col min="10" max="11" width="12.5703125" customWidth="1"/>
  </cols>
  <sheetData>
    <row r="1" spans="2:12" ht="15.75" thickBot="1" x14ac:dyDescent="0.3"/>
    <row r="2" spans="2:12" ht="15.75" thickBot="1" x14ac:dyDescent="0.3">
      <c r="B2" s="1"/>
      <c r="C2" s="1" t="s">
        <v>2</v>
      </c>
      <c r="D2" s="1"/>
      <c r="E2" s="63"/>
      <c r="F2" s="64"/>
      <c r="G2" s="65"/>
      <c r="H2" s="1" t="s">
        <v>3</v>
      </c>
      <c r="I2" s="16"/>
      <c r="J2" s="1" t="s">
        <v>27</v>
      </c>
      <c r="K2" s="96">
        <f>G6</f>
        <v>0</v>
      </c>
      <c r="L2" s="97"/>
    </row>
    <row r="3" spans="2:12" ht="15.75" thickBot="1" x14ac:dyDescent="0.3">
      <c r="B3" s="11"/>
      <c r="C3" s="11" t="s">
        <v>5</v>
      </c>
      <c r="D3" s="11"/>
      <c r="E3" s="98"/>
      <c r="F3" s="99"/>
      <c r="G3" s="100"/>
      <c r="H3" s="1" t="s">
        <v>4</v>
      </c>
      <c r="I3" s="16"/>
      <c r="J3" s="47" t="s">
        <v>28</v>
      </c>
      <c r="K3" s="96">
        <f>G36</f>
        <v>0</v>
      </c>
      <c r="L3" s="97"/>
    </row>
    <row r="4" spans="2:12" x14ac:dyDescent="0.25">
      <c r="C4" s="11"/>
      <c r="D4" s="11"/>
      <c r="E4" s="11"/>
      <c r="F4" s="11"/>
      <c r="G4" s="6"/>
      <c r="J4" s="11"/>
      <c r="K4" s="11"/>
    </row>
    <row r="5" spans="2:12" ht="15.75" thickBot="1" x14ac:dyDescent="0.3">
      <c r="B5" s="2"/>
      <c r="C5" s="3"/>
      <c r="D5" s="3"/>
      <c r="E5" s="3"/>
      <c r="F5" s="3"/>
      <c r="G5" s="3"/>
      <c r="H5" s="3"/>
      <c r="I5" s="3"/>
      <c r="J5" s="3"/>
      <c r="K5" s="3"/>
      <c r="L5" s="4"/>
    </row>
    <row r="6" spans="2:12" ht="15.75" thickBot="1" x14ac:dyDescent="0.3">
      <c r="B6" s="5"/>
      <c r="C6" s="11" t="s">
        <v>0</v>
      </c>
      <c r="D6" s="11"/>
      <c r="E6" s="11"/>
      <c r="F6" s="11"/>
      <c r="G6" s="63"/>
      <c r="H6" s="64"/>
      <c r="I6" s="65"/>
      <c r="J6" s="6"/>
      <c r="K6" s="6"/>
      <c r="L6" s="7"/>
    </row>
    <row r="7" spans="2:12" x14ac:dyDescent="0.25">
      <c r="B7" s="5"/>
      <c r="C7" s="82" t="s">
        <v>1</v>
      </c>
      <c r="D7" s="82"/>
      <c r="E7" s="82"/>
      <c r="F7" s="82"/>
      <c r="G7" s="6"/>
      <c r="H7" s="6"/>
      <c r="I7" s="6"/>
      <c r="J7" s="6"/>
      <c r="K7" s="6"/>
      <c r="L7" s="7"/>
    </row>
    <row r="8" spans="2:12" x14ac:dyDescent="0.25">
      <c r="B8" s="5"/>
      <c r="C8" s="61"/>
      <c r="D8" s="83"/>
      <c r="E8" s="83"/>
      <c r="F8" s="72"/>
      <c r="G8" s="11" t="s">
        <v>8</v>
      </c>
      <c r="I8" s="6"/>
      <c r="J8" s="6"/>
      <c r="K8" s="6"/>
      <c r="L8" s="7"/>
    </row>
    <row r="9" spans="2:12" x14ac:dyDescent="0.25">
      <c r="B9" s="5"/>
      <c r="C9" s="61"/>
      <c r="D9" s="83"/>
      <c r="E9" s="83"/>
      <c r="F9" s="72"/>
      <c r="G9" s="11" t="s">
        <v>9</v>
      </c>
      <c r="I9" s="6"/>
      <c r="J9" s="6"/>
      <c r="K9" s="6"/>
      <c r="L9" s="7"/>
    </row>
    <row r="10" spans="2:12" x14ac:dyDescent="0.25">
      <c r="B10" s="5"/>
      <c r="C10" s="61"/>
      <c r="D10" s="83"/>
      <c r="E10" s="83"/>
      <c r="F10" s="72"/>
      <c r="G10" s="11" t="s">
        <v>10</v>
      </c>
      <c r="I10" s="6"/>
      <c r="J10" s="6"/>
      <c r="K10" s="6"/>
      <c r="L10" s="7"/>
    </row>
    <row r="11" spans="2:12" x14ac:dyDescent="0.25">
      <c r="B11" s="5"/>
      <c r="C11" s="61"/>
      <c r="D11" s="83"/>
      <c r="E11" s="83"/>
      <c r="F11" s="72"/>
      <c r="G11" s="17" t="s">
        <v>11</v>
      </c>
      <c r="I11" s="6"/>
      <c r="J11" s="6"/>
      <c r="K11" s="6"/>
      <c r="L11" s="7"/>
    </row>
    <row r="12" spans="2:12" ht="15.75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12"/>
      <c r="L12" s="7"/>
    </row>
    <row r="13" spans="2:12" ht="15.75" thickBot="1" x14ac:dyDescent="0.3">
      <c r="B13" s="63" t="s">
        <v>14</v>
      </c>
      <c r="C13" s="64"/>
      <c r="D13" s="64"/>
      <c r="E13" s="64"/>
      <c r="F13" s="65"/>
      <c r="G13" s="22" t="s">
        <v>6</v>
      </c>
      <c r="H13" s="63" t="s">
        <v>13</v>
      </c>
      <c r="I13" s="65"/>
      <c r="J13" s="18" t="s">
        <v>7</v>
      </c>
      <c r="K13" s="16" t="s">
        <v>21</v>
      </c>
      <c r="L13" s="7"/>
    </row>
    <row r="14" spans="2:12" x14ac:dyDescent="0.25">
      <c r="B14" s="36"/>
      <c r="C14" s="33"/>
      <c r="D14" s="37"/>
      <c r="E14" s="37"/>
      <c r="F14" s="38"/>
      <c r="G14" s="46"/>
      <c r="H14" s="94"/>
      <c r="I14" s="95"/>
      <c r="J14" s="36"/>
      <c r="K14" s="38"/>
      <c r="L14" s="7"/>
    </row>
    <row r="15" spans="2:12" x14ac:dyDescent="0.25">
      <c r="B15" s="39"/>
      <c r="C15" s="34"/>
      <c r="D15" s="40"/>
      <c r="E15" s="40"/>
      <c r="F15" s="41"/>
      <c r="G15" s="39"/>
      <c r="H15" s="87"/>
      <c r="I15" s="88"/>
      <c r="J15" s="39"/>
      <c r="K15" s="41"/>
      <c r="L15" s="7"/>
    </row>
    <row r="16" spans="2:12" x14ac:dyDescent="0.25">
      <c r="B16" s="39"/>
      <c r="C16" s="34"/>
      <c r="D16" s="40"/>
      <c r="E16" s="40"/>
      <c r="F16" s="41"/>
      <c r="G16" s="39"/>
      <c r="H16" s="87"/>
      <c r="I16" s="88"/>
      <c r="J16" s="39"/>
      <c r="K16" s="41"/>
      <c r="L16" s="7"/>
    </row>
    <row r="17" spans="2:12" x14ac:dyDescent="0.25">
      <c r="B17" s="39"/>
      <c r="C17" s="34"/>
      <c r="D17" s="40"/>
      <c r="E17" s="40"/>
      <c r="F17" s="41"/>
      <c r="G17" s="39"/>
      <c r="H17" s="87"/>
      <c r="I17" s="88"/>
      <c r="J17" s="39"/>
      <c r="K17" s="41"/>
      <c r="L17" s="7"/>
    </row>
    <row r="18" spans="2:12" x14ac:dyDescent="0.25">
      <c r="B18" s="39"/>
      <c r="C18" s="34"/>
      <c r="D18" s="40"/>
      <c r="E18" s="40"/>
      <c r="F18" s="41"/>
      <c r="G18" s="39"/>
      <c r="H18" s="87"/>
      <c r="I18" s="88"/>
      <c r="J18" s="39"/>
      <c r="K18" s="41"/>
      <c r="L18" s="7"/>
    </row>
    <row r="19" spans="2:12" x14ac:dyDescent="0.25">
      <c r="B19" s="39"/>
      <c r="C19" s="34"/>
      <c r="D19" s="40"/>
      <c r="E19" s="40"/>
      <c r="F19" s="41"/>
      <c r="G19" s="39"/>
      <c r="H19" s="87"/>
      <c r="I19" s="88"/>
      <c r="J19" s="39"/>
      <c r="K19" s="41"/>
      <c r="L19" s="7"/>
    </row>
    <row r="20" spans="2:12" x14ac:dyDescent="0.25">
      <c r="B20" s="39"/>
      <c r="C20" s="34"/>
      <c r="D20" s="40"/>
      <c r="E20" s="40"/>
      <c r="F20" s="41"/>
      <c r="G20" s="39"/>
      <c r="H20" s="87"/>
      <c r="I20" s="88"/>
      <c r="J20" s="39"/>
      <c r="K20" s="41"/>
      <c r="L20" s="7"/>
    </row>
    <row r="21" spans="2:12" x14ac:dyDescent="0.25">
      <c r="B21" s="39"/>
      <c r="C21" s="34"/>
      <c r="D21" s="40"/>
      <c r="E21" s="40"/>
      <c r="F21" s="41"/>
      <c r="G21" s="39"/>
      <c r="H21" s="87"/>
      <c r="I21" s="88"/>
      <c r="J21" s="39"/>
      <c r="K21" s="41"/>
      <c r="L21" s="7"/>
    </row>
    <row r="22" spans="2:12" x14ac:dyDescent="0.25">
      <c r="B22" s="39"/>
      <c r="C22" s="34"/>
      <c r="D22" s="40"/>
      <c r="E22" s="40"/>
      <c r="F22" s="41"/>
      <c r="G22" s="39"/>
      <c r="H22" s="87"/>
      <c r="I22" s="88"/>
      <c r="J22" s="39"/>
      <c r="K22" s="41"/>
      <c r="L22" s="7"/>
    </row>
    <row r="23" spans="2:12" x14ac:dyDescent="0.25">
      <c r="B23" s="39"/>
      <c r="C23" s="34"/>
      <c r="D23" s="40"/>
      <c r="E23" s="40"/>
      <c r="F23" s="41"/>
      <c r="G23" s="39"/>
      <c r="H23" s="87"/>
      <c r="I23" s="88"/>
      <c r="J23" s="39"/>
      <c r="K23" s="41"/>
      <c r="L23" s="7"/>
    </row>
    <row r="24" spans="2:12" x14ac:dyDescent="0.25">
      <c r="B24" s="39"/>
      <c r="C24" s="34"/>
      <c r="D24" s="40"/>
      <c r="E24" s="40"/>
      <c r="F24" s="41"/>
      <c r="G24" s="39"/>
      <c r="H24" s="87"/>
      <c r="I24" s="88"/>
      <c r="J24" s="39"/>
      <c r="K24" s="41"/>
      <c r="L24" s="7"/>
    </row>
    <row r="25" spans="2:12" x14ac:dyDescent="0.25">
      <c r="B25" s="39"/>
      <c r="C25" s="34"/>
      <c r="D25" s="40"/>
      <c r="E25" s="40"/>
      <c r="F25" s="41"/>
      <c r="G25" s="39"/>
      <c r="H25" s="87"/>
      <c r="I25" s="88"/>
      <c r="J25" s="39"/>
      <c r="K25" s="41"/>
      <c r="L25" s="7"/>
    </row>
    <row r="26" spans="2:12" x14ac:dyDescent="0.25">
      <c r="B26" s="39"/>
      <c r="C26" s="34"/>
      <c r="D26" s="40"/>
      <c r="E26" s="40"/>
      <c r="F26" s="41"/>
      <c r="G26" s="39"/>
      <c r="H26" s="87"/>
      <c r="I26" s="88"/>
      <c r="J26" s="39"/>
      <c r="K26" s="41"/>
      <c r="L26" s="7"/>
    </row>
    <row r="27" spans="2:12" x14ac:dyDescent="0.25">
      <c r="B27" s="39"/>
      <c r="C27" s="34"/>
      <c r="D27" s="40"/>
      <c r="E27" s="40"/>
      <c r="F27" s="41"/>
      <c r="G27" s="39"/>
      <c r="H27" s="89"/>
      <c r="I27" s="90"/>
      <c r="J27" s="39"/>
      <c r="K27" s="41"/>
      <c r="L27" s="7"/>
    </row>
    <row r="28" spans="2:12" x14ac:dyDescent="0.25">
      <c r="B28" s="39"/>
      <c r="C28" s="34"/>
      <c r="D28" s="40"/>
      <c r="E28" s="40"/>
      <c r="F28" s="41"/>
      <c r="G28" s="39"/>
      <c r="H28" s="89"/>
      <c r="I28" s="90"/>
      <c r="J28" s="39"/>
      <c r="K28" s="41"/>
      <c r="L28" s="7"/>
    </row>
    <row r="29" spans="2:12" ht="15.75" thickBot="1" x14ac:dyDescent="0.3">
      <c r="B29" s="42"/>
      <c r="C29" s="45"/>
      <c r="D29" s="43"/>
      <c r="E29" s="43"/>
      <c r="F29" s="44"/>
      <c r="G29" s="42"/>
      <c r="H29" s="91"/>
      <c r="I29" s="92"/>
      <c r="J29" s="42"/>
      <c r="K29" s="44"/>
      <c r="L29" s="7"/>
    </row>
    <row r="30" spans="2:12" x14ac:dyDescent="0.25">
      <c r="B30" s="8"/>
      <c r="C30" s="9"/>
      <c r="D30" s="9"/>
      <c r="E30" s="9"/>
      <c r="F30" s="9"/>
      <c r="G30" s="9"/>
      <c r="H30" s="9"/>
      <c r="I30" s="9"/>
      <c r="J30" s="9"/>
      <c r="K30" s="9"/>
      <c r="L30" s="10"/>
    </row>
    <row r="35" spans="2:12" ht="15.75" thickBot="1" x14ac:dyDescent="0.3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ht="15.75" thickBot="1" x14ac:dyDescent="0.3">
      <c r="B36" s="5"/>
      <c r="C36" s="93" t="s">
        <v>12</v>
      </c>
      <c r="D36" s="93"/>
      <c r="E36" s="93"/>
      <c r="F36" s="93"/>
      <c r="G36" s="63"/>
      <c r="H36" s="64"/>
      <c r="I36" s="65"/>
      <c r="J36" s="6"/>
      <c r="K36" s="6"/>
      <c r="L36" s="7"/>
    </row>
    <row r="37" spans="2:12" x14ac:dyDescent="0.25">
      <c r="B37" s="5"/>
      <c r="C37" s="82" t="s">
        <v>1</v>
      </c>
      <c r="D37" s="82"/>
      <c r="E37" s="82"/>
      <c r="F37" s="82"/>
      <c r="G37" s="6"/>
      <c r="H37" s="6"/>
      <c r="I37" s="6"/>
      <c r="J37" s="6"/>
      <c r="K37" s="6"/>
      <c r="L37" s="7"/>
    </row>
    <row r="38" spans="2:12" x14ac:dyDescent="0.25">
      <c r="B38" s="5"/>
      <c r="C38" s="61"/>
      <c r="D38" s="83"/>
      <c r="E38" s="83"/>
      <c r="F38" s="72"/>
      <c r="G38" s="6"/>
      <c r="H38" s="6" t="s">
        <v>8</v>
      </c>
      <c r="I38" s="6"/>
      <c r="J38" s="6"/>
      <c r="K38" s="6"/>
      <c r="L38" s="7"/>
    </row>
    <row r="39" spans="2:12" x14ac:dyDescent="0.25">
      <c r="B39" s="5"/>
      <c r="C39" s="61"/>
      <c r="D39" s="83"/>
      <c r="E39" s="83"/>
      <c r="F39" s="72"/>
      <c r="G39" s="6"/>
      <c r="H39" s="6" t="s">
        <v>9</v>
      </c>
      <c r="I39" s="6"/>
      <c r="J39" s="6"/>
      <c r="K39" s="6"/>
      <c r="L39" s="7"/>
    </row>
    <row r="40" spans="2:12" x14ac:dyDescent="0.25">
      <c r="B40" s="5"/>
      <c r="C40" s="61"/>
      <c r="D40" s="83"/>
      <c r="E40" s="83"/>
      <c r="F40" s="72"/>
      <c r="G40" s="6"/>
      <c r="H40" s="6" t="s">
        <v>10</v>
      </c>
      <c r="I40" s="6"/>
      <c r="J40" s="6"/>
      <c r="K40" s="6"/>
      <c r="L40" s="7"/>
    </row>
    <row r="41" spans="2:12" x14ac:dyDescent="0.25">
      <c r="B41" s="5"/>
      <c r="C41" s="61"/>
      <c r="D41" s="83"/>
      <c r="E41" s="83"/>
      <c r="F41" s="72"/>
      <c r="G41" s="6"/>
      <c r="H41" s="13" t="s">
        <v>11</v>
      </c>
      <c r="I41" s="6"/>
      <c r="J41" s="6"/>
      <c r="K41" s="6"/>
      <c r="L41" s="7"/>
    </row>
    <row r="42" spans="2:12" ht="15.75" thickBot="1" x14ac:dyDescent="0.3">
      <c r="B42" s="5"/>
      <c r="C42" s="6"/>
      <c r="D42" s="6"/>
      <c r="E42" s="6"/>
      <c r="F42" s="6"/>
      <c r="G42" s="6"/>
      <c r="H42" s="6"/>
      <c r="I42" s="6"/>
      <c r="J42" s="6"/>
      <c r="K42" s="12"/>
      <c r="L42" s="7"/>
    </row>
    <row r="43" spans="2:12" ht="15.75" thickBot="1" x14ac:dyDescent="0.3">
      <c r="B43" s="84" t="s">
        <v>14</v>
      </c>
      <c r="C43" s="85"/>
      <c r="D43" s="85"/>
      <c r="E43" s="85"/>
      <c r="F43" s="86"/>
      <c r="G43" s="22" t="s">
        <v>6</v>
      </c>
      <c r="H43" s="63" t="s">
        <v>13</v>
      </c>
      <c r="I43" s="65"/>
      <c r="J43" s="21" t="s">
        <v>7</v>
      </c>
      <c r="K43" s="16" t="s">
        <v>21</v>
      </c>
      <c r="L43" s="7"/>
    </row>
    <row r="44" spans="2:12" x14ac:dyDescent="0.25">
      <c r="B44" s="27"/>
      <c r="C44" s="31"/>
      <c r="D44" s="31"/>
      <c r="E44" s="31"/>
      <c r="F44" s="28"/>
      <c r="G44" s="14"/>
      <c r="H44" s="80"/>
      <c r="I44" s="81"/>
      <c r="J44" s="27"/>
      <c r="K44" s="28"/>
      <c r="L44" s="7"/>
    </row>
    <row r="45" spans="2:12" x14ac:dyDescent="0.25">
      <c r="B45" s="23"/>
      <c r="C45" s="20"/>
      <c r="D45" s="20"/>
      <c r="E45" s="20"/>
      <c r="F45" s="29"/>
      <c r="G45" s="15"/>
      <c r="H45" s="60"/>
      <c r="I45" s="78"/>
      <c r="J45" s="23"/>
      <c r="K45" s="29"/>
      <c r="L45" s="7"/>
    </row>
    <row r="46" spans="2:12" x14ac:dyDescent="0.25">
      <c r="B46" s="23"/>
      <c r="C46" s="20"/>
      <c r="D46" s="20"/>
      <c r="E46" s="20"/>
      <c r="F46" s="29"/>
      <c r="G46" s="15"/>
      <c r="H46" s="60"/>
      <c r="I46" s="78"/>
      <c r="J46" s="23"/>
      <c r="K46" s="29"/>
      <c r="L46" s="7"/>
    </row>
    <row r="47" spans="2:12" x14ac:dyDescent="0.25">
      <c r="B47" s="23"/>
      <c r="C47" s="20"/>
      <c r="D47" s="20"/>
      <c r="E47" s="20"/>
      <c r="F47" s="29"/>
      <c r="G47" s="15"/>
      <c r="H47" s="60"/>
      <c r="I47" s="78"/>
      <c r="J47" s="23"/>
      <c r="K47" s="29"/>
      <c r="L47" s="7"/>
    </row>
    <row r="48" spans="2:12" x14ac:dyDescent="0.25">
      <c r="B48" s="23"/>
      <c r="C48" s="20"/>
      <c r="D48" s="20"/>
      <c r="E48" s="20"/>
      <c r="F48" s="29"/>
      <c r="G48" s="15"/>
      <c r="H48" s="60"/>
      <c r="I48" s="78"/>
      <c r="J48" s="23"/>
      <c r="K48" s="29"/>
      <c r="L48" s="7"/>
    </row>
    <row r="49" spans="2:12" x14ac:dyDescent="0.25">
      <c r="B49" s="23"/>
      <c r="C49" s="20"/>
      <c r="D49" s="20"/>
      <c r="E49" s="20"/>
      <c r="F49" s="29"/>
      <c r="G49" s="15"/>
      <c r="H49" s="60"/>
      <c r="I49" s="78"/>
      <c r="J49" s="23"/>
      <c r="K49" s="29"/>
      <c r="L49" s="7"/>
    </row>
    <row r="50" spans="2:12" x14ac:dyDescent="0.25">
      <c r="B50" s="23"/>
      <c r="C50" s="20"/>
      <c r="D50" s="20"/>
      <c r="E50" s="20"/>
      <c r="F50" s="29"/>
      <c r="G50" s="15"/>
      <c r="H50" s="60"/>
      <c r="I50" s="78"/>
      <c r="J50" s="23"/>
      <c r="K50" s="29"/>
      <c r="L50" s="7"/>
    </row>
    <row r="51" spans="2:12" x14ac:dyDescent="0.25">
      <c r="B51" s="23"/>
      <c r="C51" s="20"/>
      <c r="D51" s="20"/>
      <c r="E51" s="20"/>
      <c r="F51" s="29"/>
      <c r="G51" s="15"/>
      <c r="H51" s="60"/>
      <c r="I51" s="78"/>
      <c r="J51" s="23"/>
      <c r="K51" s="29"/>
      <c r="L51" s="7"/>
    </row>
    <row r="52" spans="2:12" x14ac:dyDescent="0.25">
      <c r="B52" s="23"/>
      <c r="C52" s="20"/>
      <c r="D52" s="20"/>
      <c r="E52" s="20"/>
      <c r="F52" s="29"/>
      <c r="G52" s="15"/>
      <c r="H52" s="60"/>
      <c r="I52" s="78"/>
      <c r="J52" s="23"/>
      <c r="K52" s="29"/>
      <c r="L52" s="7"/>
    </row>
    <row r="53" spans="2:12" x14ac:dyDescent="0.25">
      <c r="B53" s="23"/>
      <c r="C53" s="20"/>
      <c r="D53" s="20"/>
      <c r="E53" s="20"/>
      <c r="F53" s="29"/>
      <c r="G53" s="15"/>
      <c r="H53" s="60"/>
      <c r="I53" s="78"/>
      <c r="J53" s="23"/>
      <c r="K53" s="29"/>
      <c r="L53" s="7"/>
    </row>
    <row r="54" spans="2:12" x14ac:dyDescent="0.25">
      <c r="B54" s="23"/>
      <c r="C54" s="20"/>
      <c r="D54" s="20"/>
      <c r="E54" s="20"/>
      <c r="F54" s="29"/>
      <c r="G54" s="15"/>
      <c r="H54" s="60"/>
      <c r="I54" s="78"/>
      <c r="J54" s="23"/>
      <c r="K54" s="29"/>
      <c r="L54" s="7"/>
    </row>
    <row r="55" spans="2:12" x14ac:dyDescent="0.25">
      <c r="B55" s="23"/>
      <c r="C55" s="20"/>
      <c r="D55" s="20"/>
      <c r="E55" s="20"/>
      <c r="F55" s="29"/>
      <c r="G55" s="15"/>
      <c r="H55" s="60"/>
      <c r="I55" s="78"/>
      <c r="J55" s="23"/>
      <c r="K55" s="29"/>
      <c r="L55" s="7"/>
    </row>
    <row r="56" spans="2:12" x14ac:dyDescent="0.25">
      <c r="B56" s="23"/>
      <c r="C56" s="20"/>
      <c r="D56" s="20"/>
      <c r="E56" s="20"/>
      <c r="F56" s="29"/>
      <c r="G56" s="15"/>
      <c r="H56" s="60"/>
      <c r="I56" s="78"/>
      <c r="J56" s="23"/>
      <c r="K56" s="29"/>
      <c r="L56" s="7"/>
    </row>
    <row r="57" spans="2:12" x14ac:dyDescent="0.25">
      <c r="B57" s="23"/>
      <c r="C57" s="20"/>
      <c r="D57" s="20"/>
      <c r="E57" s="20"/>
      <c r="F57" s="29"/>
      <c r="G57" s="15"/>
      <c r="H57" s="60"/>
      <c r="I57" s="78"/>
      <c r="J57" s="23"/>
      <c r="K57" s="29"/>
      <c r="L57" s="7"/>
    </row>
    <row r="58" spans="2:12" x14ac:dyDescent="0.25">
      <c r="B58" s="23"/>
      <c r="C58" s="20"/>
      <c r="D58" s="20"/>
      <c r="E58" s="20"/>
      <c r="F58" s="29"/>
      <c r="G58" s="15"/>
      <c r="H58" s="60"/>
      <c r="I58" s="78"/>
      <c r="J58" s="23"/>
      <c r="K58" s="29"/>
      <c r="L58" s="7"/>
    </row>
    <row r="59" spans="2:12" ht="15.75" thickBot="1" x14ac:dyDescent="0.3">
      <c r="B59" s="24"/>
      <c r="C59" s="32"/>
      <c r="D59" s="32"/>
      <c r="E59" s="32"/>
      <c r="F59" s="30"/>
      <c r="G59" s="35"/>
      <c r="H59" s="67"/>
      <c r="I59" s="79"/>
      <c r="J59" s="24"/>
      <c r="K59" s="30"/>
      <c r="L59" s="7"/>
    </row>
    <row r="60" spans="2:12" ht="15.75" thickBot="1" x14ac:dyDescent="0.3">
      <c r="B60" s="5"/>
      <c r="C60" s="6"/>
      <c r="D60" s="6"/>
      <c r="E60" s="6"/>
      <c r="F60" s="6"/>
      <c r="G60" s="6"/>
      <c r="H60" s="9"/>
      <c r="I60" s="9"/>
      <c r="J60" s="9"/>
      <c r="K60" s="9"/>
      <c r="L60" s="10"/>
    </row>
    <row r="61" spans="2:12" ht="15.75" thickBot="1" x14ac:dyDescent="0.3">
      <c r="B61" s="63" t="s">
        <v>15</v>
      </c>
      <c r="C61" s="64"/>
      <c r="D61" s="64"/>
      <c r="E61" s="64"/>
      <c r="F61" s="64"/>
      <c r="G61" s="65"/>
    </row>
    <row r="62" spans="2:12" ht="15.75" thickBot="1" x14ac:dyDescent="0.3">
      <c r="B62" s="63" t="s">
        <v>17</v>
      </c>
      <c r="C62" s="64"/>
      <c r="D62" s="64" t="s">
        <v>18</v>
      </c>
      <c r="E62" s="65"/>
      <c r="F62" s="63" t="s">
        <v>22</v>
      </c>
      <c r="G62" s="65"/>
      <c r="H62" s="3"/>
      <c r="I62" s="19"/>
      <c r="J62" s="63" t="s">
        <v>19</v>
      </c>
      <c r="K62" s="65"/>
      <c r="L62" s="4"/>
    </row>
    <row r="63" spans="2:12" x14ac:dyDescent="0.25">
      <c r="B63" s="73">
        <f>SUM(B14:B29)</f>
        <v>0</v>
      </c>
      <c r="C63" s="74"/>
      <c r="D63" s="75">
        <f>SUM(B44:B59)</f>
        <v>0</v>
      </c>
      <c r="E63" s="76"/>
      <c r="F63" s="75" t="s">
        <v>23</v>
      </c>
      <c r="G63" s="77"/>
      <c r="H63" s="6"/>
      <c r="I63" s="6"/>
      <c r="J63" s="25" t="s">
        <v>17</v>
      </c>
      <c r="K63" s="25" t="s">
        <v>18</v>
      </c>
      <c r="L63" s="7"/>
    </row>
    <row r="64" spans="2:12" ht="15.75" thickBot="1" x14ac:dyDescent="0.3">
      <c r="B64" s="70">
        <f>SUM(C14:C29)</f>
        <v>0</v>
      </c>
      <c r="C64" s="71"/>
      <c r="D64" s="61">
        <f>SUM(C44:C59)</f>
        <v>0</v>
      </c>
      <c r="E64" s="72"/>
      <c r="F64" s="61" t="s">
        <v>24</v>
      </c>
      <c r="G64" s="62"/>
      <c r="H64" s="6"/>
      <c r="I64" s="6"/>
      <c r="J64" s="26">
        <f>SUM(B63:C67)</f>
        <v>0</v>
      </c>
      <c r="K64" s="26">
        <f>SUM(D63:E67)</f>
        <v>0</v>
      </c>
      <c r="L64" s="7"/>
    </row>
    <row r="65" spans="2:12" ht="15.75" thickBot="1" x14ac:dyDescent="0.3">
      <c r="B65" s="59">
        <f>SUM(D14:D29)</f>
        <v>0</v>
      </c>
      <c r="C65" s="60"/>
      <c r="D65" s="60">
        <f>SUM(D44:D59)</f>
        <v>0</v>
      </c>
      <c r="E65" s="60"/>
      <c r="F65" s="61" t="s">
        <v>25</v>
      </c>
      <c r="G65" s="62"/>
      <c r="H65" s="6"/>
      <c r="I65" s="6"/>
      <c r="J65" s="6"/>
      <c r="K65" s="6"/>
      <c r="L65" s="7"/>
    </row>
    <row r="66" spans="2:12" ht="15.75" thickBot="1" x14ac:dyDescent="0.3">
      <c r="B66" s="59">
        <f>SUM(E14:E29)</f>
        <v>0</v>
      </c>
      <c r="C66" s="60"/>
      <c r="D66" s="60">
        <f>SUM(E44:E59)</f>
        <v>0</v>
      </c>
      <c r="E66" s="60"/>
      <c r="F66" s="61" t="s">
        <v>26</v>
      </c>
      <c r="G66" s="62"/>
      <c r="H66" s="6"/>
      <c r="I66" s="6" t="s">
        <v>20</v>
      </c>
      <c r="J66" s="63" t="str">
        <f>IF(J64&gt;K64,G6,IF(J64&lt;K64,G36,"Empate"))</f>
        <v>Empate</v>
      </c>
      <c r="K66" s="64"/>
      <c r="L66" s="65"/>
    </row>
    <row r="67" spans="2:12" ht="15.75" thickBot="1" x14ac:dyDescent="0.3">
      <c r="B67" s="66">
        <f>SUM(F14:F29)</f>
        <v>0</v>
      </c>
      <c r="C67" s="67"/>
      <c r="D67" s="67">
        <f>SUM(F44:F59)</f>
        <v>0</v>
      </c>
      <c r="E67" s="67"/>
      <c r="F67" s="68" t="s">
        <v>16</v>
      </c>
      <c r="G67" s="69"/>
      <c r="H67" s="6"/>
      <c r="I67" s="6"/>
      <c r="J67" s="6"/>
      <c r="K67" s="6"/>
      <c r="L67" s="7"/>
    </row>
    <row r="68" spans="2:12" x14ac:dyDescent="0.25">
      <c r="B68" s="8"/>
      <c r="C68" s="9"/>
      <c r="D68" s="9"/>
      <c r="E68" s="9"/>
      <c r="F68" s="9"/>
      <c r="G68" s="9"/>
      <c r="H68" s="9"/>
      <c r="I68" s="9"/>
      <c r="J68" s="9"/>
      <c r="K68" s="9"/>
      <c r="L68" s="10"/>
    </row>
  </sheetData>
  <mergeCells count="74">
    <mergeCell ref="C8:F8"/>
    <mergeCell ref="C9:F9"/>
    <mergeCell ref="C10:F10"/>
    <mergeCell ref="C11:F11"/>
    <mergeCell ref="C37:F37"/>
    <mergeCell ref="C36:F36"/>
    <mergeCell ref="C38:F38"/>
    <mergeCell ref="C39:F39"/>
    <mergeCell ref="C40:F40"/>
    <mergeCell ref="B13:F13"/>
    <mergeCell ref="E2:G2"/>
    <mergeCell ref="E3:G3"/>
    <mergeCell ref="G6:I6"/>
    <mergeCell ref="H23:I23"/>
    <mergeCell ref="H24:I24"/>
    <mergeCell ref="H25:I25"/>
    <mergeCell ref="H26:I26"/>
    <mergeCell ref="H17:I17"/>
    <mergeCell ref="H18:I18"/>
    <mergeCell ref="H19:I19"/>
    <mergeCell ref="H20:I20"/>
    <mergeCell ref="H21:I21"/>
    <mergeCell ref="K2:L2"/>
    <mergeCell ref="K3:L3"/>
    <mergeCell ref="C7:F7"/>
    <mergeCell ref="D67:E67"/>
    <mergeCell ref="H59:I59"/>
    <mergeCell ref="D63:E63"/>
    <mergeCell ref="D64:E64"/>
    <mergeCell ref="D65:E65"/>
    <mergeCell ref="F63:G63"/>
    <mergeCell ref="F64:G64"/>
    <mergeCell ref="F65:G65"/>
    <mergeCell ref="F66:G66"/>
    <mergeCell ref="F67:G67"/>
    <mergeCell ref="B61:G61"/>
    <mergeCell ref="B62:C62"/>
    <mergeCell ref="D62:E62"/>
    <mergeCell ref="B67:C67"/>
    <mergeCell ref="J66:L66"/>
    <mergeCell ref="D66:E66"/>
    <mergeCell ref="H46:I46"/>
    <mergeCell ref="B65:C65"/>
    <mergeCell ref="B66:C66"/>
    <mergeCell ref="J62:K62"/>
    <mergeCell ref="B63:C63"/>
    <mergeCell ref="B64:C64"/>
    <mergeCell ref="F62:G62"/>
    <mergeCell ref="C41:F41"/>
    <mergeCell ref="B43:F43"/>
    <mergeCell ref="H58:I58"/>
    <mergeCell ref="H48:I48"/>
    <mergeCell ref="H49:I49"/>
    <mergeCell ref="H54:I54"/>
    <mergeCell ref="H55:I55"/>
    <mergeCell ref="H56:I56"/>
    <mergeCell ref="H57:I57"/>
    <mergeCell ref="H52:I52"/>
    <mergeCell ref="H53:I53"/>
    <mergeCell ref="H22:I22"/>
    <mergeCell ref="H14:I14"/>
    <mergeCell ref="H15:I15"/>
    <mergeCell ref="H16:I16"/>
    <mergeCell ref="H13:I13"/>
    <mergeCell ref="H27:I27"/>
    <mergeCell ref="H28:I28"/>
    <mergeCell ref="H43:I43"/>
    <mergeCell ref="H50:I50"/>
    <mergeCell ref="H51:I51"/>
    <mergeCell ref="H44:I44"/>
    <mergeCell ref="H45:I45"/>
    <mergeCell ref="H47:I47"/>
    <mergeCell ref="H29:I29"/>
    <mergeCell ref="G36:I36"/>
  </mergeCells>
  <pageMargins left="0.7" right="0.7" top="0.75" bottom="0.75" header="0.3" footer="0.3"/>
  <pageSetup orientation="landscape" r:id="rId1"/>
  <headerFooter>
    <oddHeader>&amp;CLiga de baloncesto
Ocotlán, Jalisco</oddHeader>
    <oddFooter>&amp;CResultados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Jugadores</vt:lpstr>
      <vt:lpstr>Equipos</vt:lpstr>
      <vt:lpstr>Armado de equipos</vt:lpstr>
      <vt:lpstr>Equipos registrados</vt:lpstr>
      <vt:lpstr>Machote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Icarian</dc:creator>
  <cp:lastModifiedBy>Ricardo Ortega Magaña</cp:lastModifiedBy>
  <dcterms:created xsi:type="dcterms:W3CDTF">2012-08-02T21:33:04Z</dcterms:created>
  <dcterms:modified xsi:type="dcterms:W3CDTF">2015-12-13T05:43:19Z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d1ff2fe7-d430-4615-be80-137c9887e883</vt:lpwstr>
  </property>
</Properties>
</file>